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42aab149c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250407b8e4343af"/>
    <x:sheet xmlns:r="http://schemas.openxmlformats.org/officeDocument/2006/relationships" name="Content Tracker" sheetId="2" r:id="R67c9aa699a6e4ab6"/>
    <x:sheet xmlns:r="http://schemas.openxmlformats.org/officeDocument/2006/relationships" name="Weekly Checklist" sheetId="3" r:id="R568ee47a5ecb4d66"/>
    <x:sheet xmlns:r="http://schemas.openxmlformats.org/officeDocument/2006/relationships" name="ActiveCampaign Queue" sheetId="4" r:id="R8deaa5338fed4d4b"/>
    <x:sheet xmlns:r="http://schemas.openxmlformats.org/officeDocument/2006/relationships" name="Lists" sheetId="5" r:id="R97ba14eccb3a4abe"/>
  </x:sheets>
</x:workbook>
</file>

<file path=xl/sharedStrings.xml><?xml version="1.0" encoding="utf-8"?>
<x:sst xmlns:x="http://schemas.openxmlformats.org/spreadsheetml/2006/main">
  <x:si>
    <x:t xml:space="preserve">Q3 Weekly Checklist &amp; Industrial Content Plan</x:t>
  </x:si>
  <x:si>
    <x:t xml:space="preserve">Q3 focus: produce consistent industrial tutorials/articles, integrate Solehin video content, and coordinate targeted tutorials with Iffah for ActiveCampaign.</x:t>
  </x:si>
  <x:si>
    <x:t xml:space="preserve">Weekly Content Target</x:t>
  </x:si>
  <x:si>
    <x:t xml:space="preserve">Q3 Content Target</x:t>
  </x:si>
  <x:si>
    <x:t xml:space="preserve">Video-supported Target</x:t>
  </x:si>
  <x:si>
    <x:t xml:space="preserve">ActiveCampaign Target</x:t>
  </x:si>
  <x:si>
    <x:t xml:space="preserve">2–3 per week</x:t>
  </x:si>
  <x:si>
    <x:t xml:space="preserve">24–36 pieces</x:t>
  </x:si>
  <x:si>
    <x:t xml:space="preserve">8–12 tutorials</x:t>
  </x:si>
  <x:si>
    <x:t xml:space="preserve">Live Progress Summary</x:t>
  </x:si>
  <x:si>
    <x:t xml:space="preserve">Published / Completed</x:t>
  </x:si>
  <x:si>
    <x:t xml:space="preserve">Video Included</x:t>
  </x:si>
  <x:si>
    <x:t xml:space="preserve">AC Submitted</x:t>
  </x:si>
  <x:si>
    <x:t xml:space="preserve">Checklist Done</x:t>
  </x:si>
  <x:si>
    <x:t xml:space="preserve">Blocked Items</x:t>
  </x:si>
  <x:si>
    <x:t xml:space="preserve">Views/Clicks Added</x:t>
  </x:si>
  <x:si>
    <x:t xml:space="preserve">Month</x:t>
  </x:si>
  <x:si>
    <x:t xml:space="preserve">Content Target</x:t>
  </x:si>
  <x:si>
    <x:t xml:space="preserve">ActiveCampaign Submitted</x:t>
  </x:si>
  <x:si>
    <x:t xml:space="preserve">July 2026</x:t>
  </x:si>
  <x:si>
    <x:t xml:space="preserve">8–12</x:t>
  </x:si>
  <x:si>
    <x:t xml:space="preserve">August 2026</x:t>
  </x:si>
  <x:si>
    <x:t xml:space="preserve">September 2026</x:t>
  </x:si>
  <x:si>
    <x:t xml:space="preserve">Weekly Operating Rhythm</x:t>
  </x:si>
  <x:si>
    <x:t xml:space="preserve">Monday</x:t>
  </x:si>
  <x:si>
    <x:t xml:space="preserve">Check on Solehin Tiktok Video list from Google Drive. Draft 1st article.</x:t>
  </x:si>
  <x:si>
    <x:t xml:space="preserve">Tuesday</x:t>
  </x:si>
  <x:si>
    <x:t xml:space="preserve">Upload 1st youtube video. Publish 1st article. </x:t>
  </x:si>
  <x:si>
    <x:t xml:space="preserve">Wednesday</x:t>
  </x:si>
  <x:si>
    <x:t xml:space="preserve">Check on Solehin Tiktok Video list from Google Drive. Draft 2nd article.</x:t>
  </x:si>
  <x:si>
    <x:t xml:space="preserve">Thursday</x:t>
  </x:si>
  <x:si>
    <x:t xml:space="preserve">Upload 2nd youtube video. Publish 2nd article</x:t>
  </x:si>
  <x:si>
    <x:t xml:space="preserve">Friday</x:t>
  </x:si>
  <x:si>
    <x:t xml:space="preserve">If 1st week, draft 3rd article. If 2nd week, publish 3rd article. Update tracker. Identify article for ActiveCampaign with Iffah.</x:t>
  </x:si>
  <x:si>
    <x:t xml:space="preserve">Monthly</x:t>
  </x:si>
  <x:si>
    <x:t xml:space="preserve">Review total published content on Youtube, Industrial articles, ActiveCampaign list, and top-performing content.</x:t>
  </x:si>
  <x:si>
    <x:t xml:space="preserve">Q3 End</x:t>
  </x:si>
  <x:si>
    <x:t xml:space="preserve">Summarize published pieces, video integrations, ActiveCampaign results, and lessons for appraisal.</x:t>
  </x:si>
  <x:si>
    <x:t xml:space="preserve">Week</x:t>
  </x:si>
  <x:si>
    <x:t xml:space="preserve">Date Range</x:t>
  </x:si>
  <x:si>
    <x:t xml:space="preserve">Content Title</x:t>
  </x:si>
  <x:si>
    <x:t xml:space="preserve">Product / Category</x:t>
  </x:si>
  <x:si>
    <x:t xml:space="preserve">Content Type</x:t>
  </x:si>
  <x:si>
    <x:t xml:space="preserve">Status</x:t>
  </x:si>
  <x:si>
    <x:t xml:space="preserve">Priority</x:t>
  </x:si>
  <x:si>
    <x:t xml:space="preserve">Owner / PIC</x:t>
  </x:si>
  <x:si>
    <x:t xml:space="preserve">Draft Start Date</x:t>
  </x:si>
  <x:si>
    <x:t xml:space="preserve">Publish Date</x:t>
  </x:si>
  <x:si>
    <x:t xml:space="preserve">Tutorial / Article URL</x:t>
  </x:si>
  <x:si>
    <x:t xml:space="preserve">Solehin Video Included</x:t>
  </x:si>
  <x:si>
    <x:t xml:space="preserve">YouTube Link</x:t>
  </x:si>
  <x:si>
    <x:t xml:space="preserve">AC Status</x:t>
  </x:si>
  <x:si>
    <x:t xml:space="preserve">Baseline Views / Clicks</x:t>
  </x:si>
  <x:si>
    <x:t xml:space="preserve">Latest Views / Clicks</x:t>
  </x:si>
  <x:si>
    <x:t xml:space="preserve">Views / Clicks Added</x:t>
  </x:si>
  <x:si>
    <x:t xml:space="preserve">Notes</x:t>
  </x:si>
  <x:si>
    <x:t xml:space="preserve">W01</x:t>
  </x:si>
  <x:si>
    <x:t xml:space="preserve">What is SCADA? A Simple Introduction to Industrial Monitoring</x:t>
  </x:si>
  <x:si>
    <x:t xml:space="preserve">IRIV Pi Control</x:t>
  </x:si>
  <x:si>
    <x:t xml:space="preserve">Article</x:t>
  </x:si>
  <x:si>
    <x:t xml:space="preserve">Published</x:t>
  </x:si>
  <x:si>
    <x:t xml:space="preserve">High</x:t>
  </x:si>
  <x:si>
    <x:t xml:space="preserve">Me</x:t>
  </x:si>
  <x:si>
    <x:t xml:space="preserve">https://my.cytron.io/tutorial/what-is-scada-a-simple-introduction-to-industrial-monitoring</x:t>
  </x:si>
  <x:si>
    <x:t xml:space="preserve">Yes</x:t>
  </x:si>
  <x:si>
    <x:t xml:space="preserve">https://www.youtube.com/shorts/WfHgmy9Kvp8</x:t>
  </x:si>
  <x:si>
    <x:t xml:space="preserve">Pending</x:t>
  </x:si>
  <x:si>
    <x:t xml:space="preserve">Not Submitted</x:t>
  </x:si>
  <x:si>
    <x:t xml:space="preserve">How AI Detects Defects in Product Quality Inspection</x:t>
  </x:si>
  <x:si>
    <x:t xml:space="preserve">IRIV EdgeAI CM5</x:t>
  </x:si>
  <x:si>
    <x:t xml:space="preserve">https://my.cytron.io/tutorial/how-ai-detects-defects-in-product-quality-inspection</x:t>
  </x:si>
  <x:si>
    <x:t xml:space="preserve">https://www.youtube.com/shorts/xQniEPTFj9U</x:t>
  </x:si>
  <x:si>
    <x:t xml:space="preserve">W02</x:t>
  </x:si>
  <x:si>
    <x:t xml:space="preserve">Industry Dashboard with IRIV</x:t>
  </x:si>
  <x:si>
    <x:t xml:space="preserve">Planning</x:t>
  </x:si>
  <x:si>
    <x:t xml:space="preserve">Can IRIV Smarthub CM5 Create MES System</x:t>
  </x:si>
  <x:si>
    <x:t xml:space="preserve">IRIV SmartHub CM5</x:t>
  </x:si>
  <x:si>
    <x:t xml:space="preserve">IRIV Pi Control with SCADA</x:t>
  </x:si>
  <x:si>
    <x:t xml:space="preserve">W03</x:t>
  </x:si>
  <x:si>
    <x:t xml:space="preserve">AI PPE Zone Monitoring</x:t>
  </x:si>
  <x:si>
    <x:t xml:space="preserve">Best AI Tools for Industry</x:t>
  </x:si>
  <x:si>
    <x:t xml:space="preserve">Industrial</x:t>
  </x:si>
  <x:si>
    <x:t xml:space="preserve">W04</x:t>
  </x:si>
  <x:si>
    <x:t xml:space="preserve">84 Days Stress Test for IRIV Smarthub CM5</x:t>
  </x:si>
  <x:si>
    <x:t xml:space="preserve">IRIV Pi Control Use Cases (Weather Station)</x:t>
  </x:si>
  <x:si>
    <x:t xml:space="preserve">IRIV EdgeAI CM5 Use Cases (Packaging Detection)</x:t>
  </x:si>
  <x:si>
    <x:t xml:space="preserve">W05</x:t>
  </x:si>
  <x:si>
    <x:t xml:space="preserve">IRIV EdgeAI CM5 Use Cases (Sample Application)</x:t>
  </x:si>
  <x:si>
    <x:t xml:space="preserve">IRIV Pi Control Use Cases (Energy Monitoring)</x:t>
  </x:si>
  <x:si>
    <x:t xml:space="preserve">W06</x:t>
  </x:si>
  <x:si>
    <x:t xml:space="preserve">IRIV EdgeAI CM5 Use Cases (PPE Safety Detection)</x:t>
  </x:si>
  <x:si>
    <x:t xml:space="preserve">IRIV Pi Control Use Cases (System Failure Notification)</x:t>
  </x:si>
  <x:si>
    <x:t xml:space="preserve">IRIV SmartHub CM5 Use Cases (Digital Signage)</x:t>
  </x:si>
  <x:si>
    <x:t xml:space="preserve">W07</x:t>
  </x:si>
  <x:si>
    <x:t xml:space="preserve">W08</x:t>
  </x:si>
  <x:si>
    <x:t xml:space="preserve">W09</x:t>
  </x:si>
  <x:si>
    <x:t xml:space="preserve">W10</x:t>
  </x:si>
  <x:si>
    <x:t xml:space="preserve">W11</x:t>
  </x:si>
  <x:si>
    <x:t xml:space="preserve">W12</x:t>
  </x:si>
  <x:si>
    <x:t xml:space="preserve">W13</x:t>
  </x:si>
  <x:si>
    <x:t xml:space="preserve">Tutorial / Article Title</x:t>
  </x:si>
  <x:si>
    <x:t xml:space="preserve">Target Audience</x:t>
  </x:si>
  <x:si>
    <x:t xml:space="preserve">CTA / Product Link</x:t>
  </x:si>
  <x:si>
    <x:t xml:space="preserve">Submitted to Iffah</x:t>
  </x:si>
  <x:si>
    <x:t xml:space="preserve">Submitted Date</x:t>
  </x:si>
  <x:si>
    <x:t xml:space="preserve">Start Date</x:t>
  </x:si>
  <x:si>
    <x:t xml:space="preserve">End Date</x:t>
  </x:si>
  <x:si>
    <x:t xml:space="preserve">Content Status</x:t>
  </x:si>
  <x:si>
    <x:t xml:space="preserve">Checklist Status</x:t>
  </x:si>
  <x:si>
    <x:t xml:space="preserve">Yes/No/Pending</x:t>
  </x:si>
  <x:si>
    <x:t xml:space="preserve">PIC</x:t>
  </x:si>
  <x:si>
    <x:t xml:space="preserve">05 Jul – 11 Jul 2026</x:t>
  </x:si>
  <x:si>
    <x:t xml:space="preserve">Not Started</x:t>
  </x:si>
  <x:si>
    <x:t xml:space="preserve">Tutorial</x:t>
  </x:si>
  <x:si>
    <x:t xml:space="preserve">12 Jul – 18 Jul 2026</x:t>
  </x:si>
  <x:si>
    <x:t xml:space="preserve">In Progress</x:t>
  </x:si>
  <x:si>
    <x:t xml:space="preserve">No</x:t>
  </x:si>
  <x:si>
    <x:t xml:space="preserve">Medium</x:t>
  </x:si>
  <x:si>
    <x:t xml:space="preserve">Iffah</x:t>
  </x:si>
  <x:si>
    <x:t xml:space="preserve">19 Jul – 25 Jul 2026</x:t>
  </x:si>
  <x:si>
    <x:t xml:space="preserve">Drafting</x:t>
  </x:si>
  <x:si>
    <x:t xml:space="preserve">Done</x:t>
  </x:si>
  <x:si>
    <x:t xml:space="preserve">Video-supported Article</x:t>
  </x:si>
  <x:si>
    <x:t xml:space="preserve">Added to ActiveCampaign</x:t>
  </x:si>
  <x:si>
    <x:t xml:space="preserve">Low</x:t>
  </x:si>
  <x:si>
    <x:t xml:space="preserve">Solehin</x:t>
  </x:si>
  <x:si>
    <x:t xml:space="preserve">26 Jul – 01 Aug 2026</x:t>
  </x:si>
  <x:si>
    <x:t xml:space="preserve">Technical Review</x:t>
  </x:si>
  <x:si>
    <x:t xml:space="preserve">Blocked</x:t>
  </x:si>
  <x:si>
    <x:t xml:space="preserve">Product Use Case</x:t>
  </x:si>
  <x:si>
    <x:t xml:space="preserve">Scheduled</x:t>
  </x:si>
  <x:si>
    <x:t xml:space="preserve">IT</x:t>
  </x:si>
  <x:si>
    <x:t xml:space="preserve">02 Aug – 08 Aug 2026</x:t>
  </x:si>
  <x:si>
    <x:t xml:space="preserve">Ready to Publish</x:t>
  </x:si>
  <x:si>
    <x:t xml:space="preserve">Technical Guide</x:t>
  </x:si>
  <x:si>
    <x:t xml:space="preserve">Sent</x:t>
  </x:si>
  <x:si>
    <x:t xml:space="preserve">Education Team</x:t>
  </x:si>
  <x:si>
    <x:t xml:space="preserve">09 Aug – 15 Aug 2026</x:t>
  </x:si>
  <x:si>
    <x:t xml:space="preserve">Launch Support Content</x:t>
  </x:si>
  <x:si>
    <x:t xml:space="preserve">Needs Follow-up</x:t>
  </x:si>
  <x:si>
    <x:t xml:space="preserve">Industry Team</x:t>
  </x:si>
  <x:si>
    <x:t xml:space="preserve">16 Aug – 22 Aug 2026</x:t>
  </x:si>
  <x:si>
    <x:t xml:space="preserve">Completed</x:t>
  </x:si>
  <x:si>
    <x:t xml:space="preserve">Not Suitable</x:t>
  </x:si>
  <x:si>
    <x:t xml:space="preserve">International Team</x:t>
  </x:si>
  <x:si>
    <x:t xml:space="preserve">23 Aug – 29 Aug 2026</x:t>
  </x:si>
  <x:si>
    <x:t xml:space="preserve">Delayed</x:t>
  </x:si>
  <x:si>
    <x:t xml:space="preserve">Marketing Team</x:t>
  </x:si>
  <x:si>
    <x:t xml:space="preserve">30 Aug – 05 Sep 2026</x:t>
  </x:si>
  <x:si>
    <x:t xml:space="preserve">06 Sep – 12 Sep 2026</x:t>
  </x:si>
  <x:si>
    <x:t xml:space="preserve">13 Sep – 19 Sep 2026</x:t>
  </x:si>
  <x:si>
    <x:t xml:space="preserve">20 Sep – 26 Sep 2026</x:t>
  </x:si>
  <x:si>
    <x:t xml:space="preserve">27 Sep – 03 Oct 2026</x:t>
  </x:si>
</x:sst>
</file>

<file path=xl/styles.xml><?xml version="1.0" encoding="utf-8"?>
<x:styleSheet xmlns:x="http://schemas.openxmlformats.org/spreadsheetml/2006/main">
  <x:numFmts count="2">
    <x:numFmt numFmtId="164" formatCode="dd/mm/yyyy"/>
    <x:numFmt numFmtId="200" formatCode="0"/>
  </x:numFmts>
  <x:fonts count="10">
    <x:font>
      <x:sz val="11"/>
      <x:color rgb="FF000000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0F172A"/>
      <x:name val="Carlito"/>
    </x:font>
    <x:font>
      <x:b/>
      <x:sz val="16"/>
      <x:color rgb="FF0F766E"/>
      <x:name val="Carlito"/>
    </x:font>
    <x:font>
      <x:sz val="11"/>
      <x:color theme="1"/>
      <x:name val="Carlito"/>
    </x:font>
    <x:font>
      <x:b/>
      <x:sz val="11"/>
      <x:color rgb="FFFFFFFF"/>
      <x:name val="Carlito"/>
    </x:font>
    <x:font>
      <x:b/>
      <x:sz val="14"/>
      <x:color rgb="FF0F766E"/>
      <x:name val="Carlito"/>
    </x:font>
    <x:font>
      <x:b/>
      <x:sz val="11"/>
      <x:color rgb="FF0F766E"/>
      <x:name val="Carlito"/>
    </x:font>
    <x:font>
      <x:sz val="11"/>
      <x:color rgb="FF0000FF"/>
      <x:name val="Carlito"/>
    </x:font>
  </x:fonts>
  <x:fills count="9">
    <x:fill>
      <x:patternFill patternType="none"/>
    </x:fill>
    <x:fill>
      <x:patternFill patternType="lightGray"/>
    </x:fill>
    <x:fill>
      <x:patternFill patternType="solid">
        <x:fgColor rgb="FF0F766E"/>
      </x:patternFill>
    </x:fill>
    <x:fill>
      <x:patternFill patternType="solid">
        <x:fgColor rgb="FFECFEFF"/>
      </x:patternFill>
    </x:fill>
    <x:fill>
      <x:patternFill patternType="solid">
        <x:fgColor rgb="FFE0F2FE"/>
      </x:patternFill>
    </x:fill>
    <x:fill>
      <x:patternFill patternType="solid">
        <x:fgColor rgb="FFFFFFFF"/>
      </x:patternFill>
    </x:fill>
    <x:fill>
      <x:patternFill patternType="solid">
        <x:fgColor rgb="FF334155"/>
      </x:patternFill>
    </x:fill>
    <x:fill>
      <x:patternFill patternType="solid">
        <x:fgColor rgb="FFF0FDFA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 applyFont="1" applyAlignment="1"/>
  </x:cellStyleXfs>
  <x:cellXfs count="47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center" vertical="center" wrapText="1"/>
    </x:xf>
    <x:xf numFmtId="0" fontId="3" fillId="4" borderId="0" xfId="0" applyFont="1" applyFill="1" applyAlignment="1">
      <x:alignment horizontal="center" vertical="center" wrapText="1"/>
    </x:xf>
    <x:xf numFmtId="0" fontId="4" fillId="5" borderId="0" xfId="0" applyFont="1" applyFill="1" applyAlignment="1">
      <x:alignment horizontal="center" vertical="center" wrapText="1"/>
    </x:xf>
    <x:xf numFmtId="0" fontId="5" fillId="5" borderId="0" xfId="0" applyFont="1" applyAlignment="1">
      <x:alignment horizontal="center" vertical="center" wrapText="1"/>
    </x:xf>
    <x:xf numFmtId="0" fontId="6" fillId="2" borderId="0" xfId="0" applyFont="1" applyAlignment="1">
      <x:alignment horizontal="center"/>
    </x:xf>
    <x:xf numFmtId="0" fontId="6" fillId="6" borderId="0" xfId="0" applyFont="1" applyFill="1" applyAlignment="1">
      <x:alignment horizontal="center" wrapText="1"/>
    </x:xf>
    <x:xf numFmtId="1" fontId="7" fillId="7" borderId="0" xfId="0" applyNumberFormat="1" applyFont="1" applyFill="1" applyAlignment="1">
      <x:alignment horizontal="center"/>
    </x:xf>
    <x:xf numFmtId="0" fontId="5" fillId="0" borderId="0" xfId="0" applyFont="1" applyAlignment="1">
      <x:alignment horizontal="center"/>
    </x:xf>
    <x:xf numFmtId="1" fontId="5" fillId="0" borderId="0" xfId="0" applyNumberFormat="1" applyFont="1" applyAlignment="1">
      <x:alignment horizontal="center"/>
    </x:xf>
    <x:xf numFmtId="0" fontId="8" fillId="5" borderId="0" xfId="0" applyFont="1" applyAlignment="1">
      <x:alignment vertical="top" wrapText="1"/>
    </x:xf>
    <x:xf numFmtId="0" fontId="5" fillId="5" borderId="0" xfId="0" applyFont="1" applyAlignment="1">
      <x:alignment vertical="top" wrapText="1"/>
    </x:xf>
    <x:xf numFmtId="0" fontId="5" fillId="5" borderId="0" xfId="0" applyFont="1" applyAlignment="1">
      <x:alignment vertical="top" wrapText="1"/>
    </x:xf>
    <x:xf numFmtId="0" fontId="5" fillId="5" borderId="0" xfId="0" applyFont="1" applyAlignment="1">
      <x:alignment horizontal="left" vertical="top" wrapText="1"/>
    </x:xf>
    <x:xf numFmtId="0" fontId="5" fillId="5" borderId="0" xfId="0" applyFont="1" applyAlignment="1">
      <x:alignment vertical="top" wrapText="1"/>
    </x:xf>
    <x:xf numFmtId="0" fontId="6" fillId="2" borderId="0" xfId="0" applyFont="1" applyAlignment="1">
      <x:alignment horizontal="center" vertical="center" wrapText="1"/>
    </x:xf>
    <x:xf numFmtId="0" fontId="5" fillId="0" borderId="0" xfId="0" applyFont="1" applyAlignment="1">
      <x:alignment vertical="top" wrapText="1"/>
    </x:xf>
    <x:xf numFmtId="0" fontId="5" fillId="0" borderId="0" xfId="0" applyFont="1" applyAlignment="1">
      <x:alignment vertical="top" wrapText="1"/>
    </x:xf>
    <x:xf numFmtId="164" fontId="5" fillId="0" borderId="0" xfId="0" applyNumberFormat="1" applyFont="1" applyAlignment="1">
      <x:alignment vertical="top" wrapText="1"/>
    </x:xf>
    <x:xf numFmtId="0" fontId="9" fillId="0" borderId="0" xfId="0" applyFont="1" applyAlignment="1">
      <x:alignment vertical="top" wrapText="1"/>
    </x:xf>
    <x:xf numFmtId="164" fontId="5" fillId="0" borderId="0" xfId="0" applyNumberFormat="1" applyFont="1" applyAlignment="1">
      <x:alignment vertical="top" wrapText="1"/>
    </x:xf>
    <x:xf numFmtId="0" fontId="6" fillId="2" borderId="0" xfId="0" applyFont="1" applyAlignment="1">
      <x:alignment horizontal="center" vertical="top" wrapText="1"/>
    </x:xf>
    <x:xf numFmtId="0" fontId="5" fillId="0" borderId="0" xfId="0" applyFont="1" applyAlignment="1">
      <x:alignment vertical="top" wrapText="1"/>
    </x:xf>
    <x:xf numFmtId="0" fontId="5" fillId="0" borderId="0" xfId="0" applyFont="1" applyAlignment="1">
      <x:alignment vertical="top" wrapText="1"/>
    </x:xf>
    <x:xf numFmtId="164" fontId="5" fillId="0" borderId="0" xfId="0" applyNumberFormat="1" applyFont="1" applyAlignment="1">
      <x:alignment vertical="top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wrapText="1"/>
    </x:xf>
    <x:xf numFmtId="1" fontId="7" fillId="7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/>
    </x:xf>
    <x:xf numFmtId="1" fontId="5" fillId="0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left" vertical="top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164" fontId="5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8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font>
        <x:color rgb="FF166534"/>
      </x:font>
      <x:fill>
        <x:patternFill>
          <x:bgColor rgb="FFDCFCE7"/>
        </x:patternFill>
      </x:fill>
      <x:border/>
    </x:dxf>
    <x:dxf>
      <x:font>
        <x:color rgb="FF92400E"/>
      </x:font>
      <x:fill>
        <x:patternFill>
          <x:bgColor rgb="FFFEF3C7"/>
        </x:patternFill>
      </x:fill>
      <x:border/>
    </x:dxf>
    <x:dxf>
      <x:font>
        <x:color rgb="FF991B1B"/>
      </x:font>
      <x:fill>
        <x:patternFill>
          <x:bgColor rgb="FFFEE2E2"/>
        </x:patternFill>
      </x:fill>
      <x:border/>
    </x:dxf>
    <x:dxf>
      <x:font>
        <x:color rgb="FF1D4ED8"/>
      </x:font>
      <x:fill>
        <x:patternFill>
          <x:bgColor rgb="FFDBEAFE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3be7561a4a4334" /><Relationship Type="http://schemas.openxmlformats.org/officeDocument/2006/relationships/theme" Target="/xl/theme/theme1.xml" Id="R538920cb70ee4f13" /><Relationship Type="http://schemas.openxmlformats.org/officeDocument/2006/relationships/sharedStrings" Target="/xl/sharedStrings.xml" Id="R3ad734adfe2c4472" /><Relationship Type="http://schemas.openxmlformats.org/officeDocument/2006/relationships/worksheet" Target="/xl/worksheets/sheet1.xml" Id="Rd250407b8e4343af" /><Relationship Type="http://schemas.openxmlformats.org/officeDocument/2006/relationships/worksheet" Target="/xl/worksheets/sheet2.xml" Id="R67c9aa699a6e4ab6" /><Relationship Type="http://schemas.openxmlformats.org/officeDocument/2006/relationships/worksheet" Target="/xl/worksheets/sheet3.xml" Id="R568ee47a5ecb4d66" /><Relationship Type="http://schemas.openxmlformats.org/officeDocument/2006/relationships/worksheet" Target="/xl/worksheets/sheet4.xml" Id="R8deaa5338fed4d4b" /><Relationship Type="http://schemas.openxmlformats.org/officeDocument/2006/relationships/worksheet" Target="/xl/worksheets/sheet5.xml" Id="R97ba14eccb3a4abe" /></Relationships>
</file>

<file path=xl/tables/table1.xml><?xml version="1.0" encoding="utf-8"?>
<x:table xmlns:x="http://schemas.openxmlformats.org/spreadsheetml/2006/main" id="1" name="Table_1" displayName="Table_1" ref="A1:S101">
  <x:tableColumns count="19">
    <x:tableColumn id="1" name="Week"/>
    <x:tableColumn id="2" name="Date Range"/>
    <x:tableColumn id="3" name="Content Title"/>
    <x:tableColumn id="4" name="Product / Category"/>
    <x:tableColumn id="5" name="Content Type"/>
    <x:tableColumn id="6" name="Status"/>
    <x:tableColumn id="7" name="Priority"/>
    <x:tableColumn id="8" name="Owner / PIC"/>
    <x:tableColumn id="9" name="Draft Start Date"/>
    <x:tableColumn id="10" name="Publish Date"/>
    <x:tableColumn id="11" name="Tutorial / Article URL"/>
    <x:tableColumn id="12" name="Solehin Video Included"/>
    <x:tableColumn id="13" name="YouTube Link"/>
    <x:tableColumn id="14" name="ActiveCampaign Submitted"/>
    <x:tableColumn id="15" name="AC Status"/>
    <x:tableColumn id="16" name="Baseline Views / Clicks"/>
    <x:tableColumn id="17" name="Latest Views / Clicks"/>
    <x:tableColumn id="18" name="Views / Clicks Added"/>
    <x:tableColumn id="19" name="Notes"/>
  </x:tableColumns>
  <x:tableStyleInfo name="Content Tracker-style" showFirstColumn="1" showLastColumn="1" showRowStripes="1"/>
</x:table>
</file>

<file path=xl/tables/table2.xml><?xml version="1.0" encoding="utf-8"?>
<x:table xmlns:x="http://schemas.openxmlformats.org/spreadsheetml/2006/main" id="2" name="Table_2" displayName="Table_2" ref="A1:G222">
  <x:tableColumns count="7">
    <x:tableColumn id="1" name="Week"/>
    <x:tableColumn id="2" name="Date Range"/>
    <x:tableColumn id="3" name="Area"/>
    <x:tableColumn id="4" name="Checklist Item"/>
    <x:tableColumn id="5" name="Status"/>
    <x:tableColumn id="6" name="Owner / PIC"/>
    <x:tableColumn id="7" name="Notes"/>
  </x:tableColumns>
  <x:tableStyleInfo name="Weekly Checklist-style" showFirstColumn="1" showLastColumn="1" showRowStripes="1"/>
</x:table>
</file>

<file path=xl/tables/table3.xml><?xml version="1.0" encoding="utf-8"?>
<x:table xmlns:x="http://schemas.openxmlformats.org/spreadsheetml/2006/main" id="3" name="Table_3" displayName="Table_3" ref="A1:I51">
  <x:tableColumns count="9">
    <x:tableColumn id="1" name="Week"/>
    <x:tableColumn id="2" name="Tutorial / Article Title"/>
    <x:tableColumn id="3" name="Product / Category"/>
    <x:tableColumn id="4" name="Target Audience"/>
    <x:tableColumn id="5" name="CTA / Product Link"/>
    <x:tableColumn id="6" name="Submitted to Iffah"/>
    <x:tableColumn id="7" name="AC Status"/>
    <x:tableColumn id="8" name="Submitted Date"/>
    <x:tableColumn id="9" name="Notes"/>
  </x:tableColumns>
  <x:tableStyleInfo name="ActiveCampaign Queue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2e54fed27e4f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48ec39810a4f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b7232b279d44e7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6" customWidth="1"/>
    <x:col min="2" max="9" width="18" customWidth="1"/>
    <x:col min="10" max="26" width="8.630000114440918" customWidth="1"/>
  </x:cols>
  <x:sheetData>
    <x:row r="1" ht="33.75" customHeight="1">
      <x:c r="A1" s="1" t="s">
        <x:v>0</x:v>
      </x:c>
    </x:row>
    <x:row r="2" ht="33.75" customHeight="1">
      <x:c r="A2" s="2" t="s">
        <x:v>1</x:v>
      </x:c>
    </x:row>
    <x:row r="4">
      <x:c r="A4" s="3" t="s">
        <x:v>2</x:v>
      </x:c>
      <x:c r="C4" s="3" t="s">
        <x:v>3</x:v>
      </x:c>
      <x:c r="E4" s="3" t="s">
        <x:v>4</x:v>
      </x:c>
      <x:c r="G4" s="3" t="s">
        <x:v>5</x:v>
      </x:c>
    </x:row>
    <x:row r="5">
      <x:c r="A5" s="4" t="s">
        <x:v>6</x:v>
      </x:c>
      <x:c r="B5" s="5"/>
      <x:c r="C5" s="4" t="s">
        <x:v>7</x:v>
      </x:c>
      <x:c r="D5" s="5"/>
      <x:c r="E5" s="4" t="s">
        <x:v>7</x:v>
      </x:c>
      <x:c r="F5" s="5"/>
      <x:c r="G5" s="4" t="s">
        <x:v>8</x:v>
      </x:c>
      <x:c r="H5" s="5"/>
      <x:c r="I5" s="5"/>
    </x:row>
    <x:row r="7">
      <x:c r="A7" s="6" t="s">
        <x:v>9</x:v>
      </x:c>
    </x:row>
    <x:row r="8" ht="27.75" customHeight="1">
      <x:c r="A8" s="7" t="s">
        <x:v>10</x:v>
      </x:c>
      <x:c r="B8" s="7" t="s">
        <x:v>11</x:v>
      </x:c>
      <x:c r="C8" s="7" t="s">
        <x:v>12</x:v>
      </x:c>
      <x:c r="D8" s="7" t="s">
        <x:v>13</x:v>
      </x:c>
      <x:c r="E8" s="7" t="s">
        <x:v>14</x:v>
      </x:c>
      <x:c r="F8" s="7" t="s">
        <x:v>15</x:v>
      </x:c>
    </x:row>
    <x:row r="9" ht="24" customHeight="1">
      <x:c r="A9" s="8" t="n">
        <x:f>COUNTIF('Content Tracker'!$F$2:$F$101,"Published")+COUNTIF('Content Tracker'!$F$2:$F$101,"Completed")</x:f>
        <x:v>2</x:v>
      </x:c>
      <x:c r="B9" s="8" t="n">
        <x:f>COUNTIF('Content Tracker'!$L$2:$L$101,"Yes")</x:f>
        <x:v>2</x:v>
      </x:c>
      <x:c r="C9" s="8" t="n">
        <x:f>COUNTIF('Content Tracker'!$N$2:$N$101,"Yes")</x:f>
        <x:v>0</x:v>
      </x:c>
      <x:c r="D9" s="8" t="n">
        <x:f>COUNTIF('Weekly Checklist'!$E$2:$E$300,"Done")</x:f>
        <x:v>0</x:v>
      </x:c>
      <x:c r="E9" s="8" t="n">
        <x:f>COUNTIF('Weekly Checklist'!$E$2:$E$300,"Blocked")</x:f>
        <x:v>0</x:v>
      </x:c>
      <x:c r="F9" s="8" t="n">
        <x:f>SUM('Content Tracker'!$R$2:$R$101)</x:f>
        <x:v>0</x:v>
      </x:c>
    </x:row>
    <x:row r="12" ht="27.75" customHeight="1">
      <x:c r="A12" s="7" t="s">
        <x:v>16</x:v>
      </x:c>
      <x:c r="B12" s="7" t="s">
        <x:v>17</x:v>
      </x:c>
      <x:c r="C12" s="7" t="s">
        <x:v>10</x:v>
      </x:c>
      <x:c r="D12" s="7" t="s">
        <x:v>11</x:v>
      </x:c>
      <x:c r="E12" s="7" t="s">
        <x:v>18</x:v>
      </x:c>
    </x:row>
    <x:row r="13">
      <x:c r="A13" s="9" t="s">
        <x:v>19</x:v>
      </x:c>
      <x:c r="B13" s="9" t="s">
        <x:v>20</x:v>
      </x:c>
      <x:c r="C13" s="46" t="n">
        <x:v>2</x:v>
      </x:c>
      <x:c r="D13" s="46" t="n">
        <x:v>2</x:v>
      </x:c>
      <x:c r="E13" s="46" t="n">
        <x:v>0</x:v>
      </x:c>
    </x:row>
    <x:row r="14">
      <x:c r="A14" s="9" t="s">
        <x:v>21</x:v>
      </x:c>
      <x:c r="B14" s="9" t="s">
        <x:v>20</x:v>
      </x:c>
      <x:c r="C14" s="46" t="n">
        <x:v>0</x:v>
      </x:c>
      <x:c r="D14" s="46" t="n">
        <x:v>0</x:v>
      </x:c>
      <x:c r="E14" s="46" t="n">
        <x:v>0</x:v>
      </x:c>
    </x:row>
    <x:row r="15">
      <x:c r="A15" s="9" t="s">
        <x:v>22</x:v>
      </x:c>
      <x:c r="B15" s="9" t="s">
        <x:v>20</x:v>
      </x:c>
      <x:c r="C15" s="46" t="n">
        <x:v>0</x:v>
      </x:c>
      <x:c r="D15" s="46" t="n">
        <x:v>0</x:v>
      </x:c>
      <x:c r="E15" s="46" t="n">
        <x:v>0</x:v>
      </x:c>
    </x:row>
    <x:row r="18">
      <x:c r="A18" s="6" t="s">
        <x:v>23</x:v>
      </x:c>
    </x:row>
    <x:row r="19" ht="27.75" customHeight="1">
      <x:c r="A19" s="11" t="s">
        <x:v>24</x:v>
      </x:c>
      <x:c r="B19" s="12" t="s">
        <x:v>25</x:v>
      </x:c>
    </x:row>
    <x:row r="20" ht="27.75" customHeight="1">
      <x:c r="A20" s="11" t="s">
        <x:v>26</x:v>
      </x:c>
      <x:c r="B20" s="13" t="s">
        <x:v>27</x:v>
      </x:c>
    </x:row>
    <x:row r="21" ht="42" customHeight="1">
      <x:c r="A21" s="11" t="s">
        <x:v>28</x:v>
      </x:c>
      <x:c r="B21" s="12" t="s">
        <x:v>29</x:v>
      </x:c>
    </x:row>
    <x:row r="22" ht="27.75" customHeight="1">
      <x:c r="A22" s="11" t="s">
        <x:v>30</x:v>
      </x:c>
      <x:c r="B22" s="13" t="s">
        <x:v>31</x:v>
      </x:c>
    </x:row>
    <x:row r="23" ht="27.75" customHeight="1">
      <x:c r="A23" s="11" t="s">
        <x:v>32</x:v>
      </x:c>
      <x:c r="B23" s="13" t="s">
        <x:v>33</x:v>
      </x:c>
    </x:row>
    <x:row r="24" ht="42" customHeight="1">
      <x:c r="A24" s="11" t="s">
        <x:v>34</x:v>
      </x:c>
      <x:c r="B24" s="14" t="s">
        <x:v>35</x:v>
      </x:c>
    </x:row>
    <x:row r="25" ht="42" customHeight="1">
      <x:c r="A25" s="11" t="s">
        <x:v>36</x:v>
      </x:c>
      <x:c r="B25" s="15" t="s">
        <x:v>37</x:v>
      </x:c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8:I18"/>
    <x:mergeCell ref="B19:I19"/>
    <x:mergeCell ref="B20:I20"/>
    <x:mergeCell ref="B21:I21"/>
    <x:mergeCell ref="B22:I22"/>
    <x:mergeCell ref="B23:I23"/>
    <x:mergeCell ref="B24:I24"/>
    <x:mergeCell ref="B25:I25"/>
    <x:mergeCell ref="A1:I1"/>
    <x:mergeCell ref="A2:I2"/>
    <x:mergeCell ref="A4:B4"/>
    <x:mergeCell ref="C4:D4"/>
    <x:mergeCell ref="E4:F4"/>
    <x:mergeCell ref="G4:I4"/>
    <x:mergeCell ref="A7:I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0" customWidth="1"/>
    <x:col min="2" max="2" width="20" customWidth="1"/>
    <x:col min="3" max="3" width="36" customWidth="1"/>
    <x:col min="4" max="5" width="22" customWidth="1"/>
    <x:col min="6" max="6" width="18" customWidth="1"/>
    <x:col min="7" max="7" width="12" customWidth="1"/>
    <x:col min="8" max="8" width="18" customWidth="1"/>
    <x:col min="9" max="10" width="14" customWidth="1"/>
    <x:col min="11" max="11" width="34" customWidth="1"/>
    <x:col min="12" max="12" width="16" customWidth="1"/>
    <x:col min="13" max="13" width="28" customWidth="1"/>
    <x:col min="14" max="14" width="18" customWidth="1"/>
    <x:col min="15" max="15" width="22" customWidth="1"/>
    <x:col min="16" max="18" width="16" customWidth="1"/>
    <x:col min="19" max="19" width="34" customWidth="1"/>
    <x:col min="20" max="26" width="8.630000114440918" customWidth="1"/>
  </x:cols>
  <x:sheetData>
    <x:row r="1">
      <x:c r="A1" s="16" t="s">
        <x:v>38</x:v>
      </x:c>
      <x:c r="B1" s="16" t="s">
        <x:v>39</x:v>
      </x:c>
      <x:c r="C1" s="16" t="s">
        <x:v>40</x:v>
      </x:c>
      <x:c r="D1" s="16" t="s">
        <x:v>41</x:v>
      </x:c>
      <x:c r="E1" s="16" t="s">
        <x:v>42</x:v>
      </x:c>
      <x:c r="F1" s="16" t="s">
        <x:v>43</x:v>
      </x:c>
      <x:c r="G1" s="16" t="s">
        <x:v>44</x:v>
      </x:c>
      <x:c r="H1" s="16" t="s">
        <x:v>45</x:v>
      </x:c>
      <x:c r="I1" s="16" t="s">
        <x:v>46</x:v>
      </x:c>
      <x:c r="J1" s="16" t="s">
        <x:v>47</x:v>
      </x:c>
      <x:c r="K1" s="16" t="s">
        <x:v>48</x:v>
      </x:c>
      <x:c r="L1" s="16" t="s">
        <x:v>49</x:v>
      </x:c>
      <x:c r="M1" s="16" t="s">
        <x:v>50</x:v>
      </x:c>
      <x:c r="N1" s="16" t="s">
        <x:v>18</x:v>
      </x:c>
      <x:c r="O1" s="16" t="s">
        <x:v>51</x:v>
      </x:c>
      <x:c r="P1" s="16" t="s">
        <x:v>52</x:v>
      </x:c>
      <x:c r="Q1" s="16" t="s">
        <x:v>53</x:v>
      </x:c>
      <x:c r="R1" s="16" t="s">
        <x:v>54</x:v>
      </x:c>
      <x:c r="S1" s="16" t="s">
        <x:v>55</x:v>
      </x:c>
    </x:row>
    <x:row r="2">
      <x:c r="A2" s="17" t="s">
        <x:v>56</x:v>
      </x:c>
      <x:c r="B2" s="17" t="str">
        <x:f>IFERROR(VLOOKUP(A2,Lists!$A$2:$B$14,2,FALSE),"")</x:f>
        <x:v>05 Jul – 11 Jul 2026</x:v>
      </x:c>
      <x:c r="C2" s="18" t="s">
        <x:v>57</x:v>
      </x:c>
      <x:c r="D2" s="18" t="s">
        <x:v>58</x:v>
      </x:c>
      <x:c r="E2" s="17" t="s">
        <x:v>59</x:v>
      </x:c>
      <x:c r="F2" s="18" t="s">
        <x:v>60</x:v>
      </x:c>
      <x:c r="G2" s="17" t="s">
        <x:v>61</x:v>
      </x:c>
      <x:c r="H2" s="17" t="s">
        <x:v>62</x:v>
      </x:c>
      <x:c r="I2" s="19">
        <x:v>46209.0</x:v>
      </x:c>
      <x:c r="J2" s="19">
        <x:v>46210.0</x:v>
      </x:c>
      <x:c r="K2" s="20" t="s">
        <x:v>63</x:v>
      </x:c>
      <x:c r="L2" s="18" t="s">
        <x:v>64</x:v>
      </x:c>
      <x:c r="M2" s="20" t="s">
        <x:v>65</x:v>
      </x:c>
      <x:c r="N2" s="17" t="s">
        <x:v>66</x:v>
      </x:c>
      <x:c r="O2" s="17" t="s">
        <x:v>67</x:v>
      </x:c>
      <x:c r="P2" s="17"/>
      <x:c r="Q2" s="17"/>
      <x:c r="R2" s="17" t="str">
        <x:f t="shared" ref="R2:R101" si="1">IF(OR(P2="",Q2=""),"",Q2-P2)</x:f>
      </x:c>
      <x:c r="S2" s="17"/>
    </x:row>
    <x:row r="3">
      <x:c r="A3" s="17" t="s">
        <x:v>56</x:v>
      </x:c>
      <x:c r="B3" s="17" t="str">
        <x:f>IFERROR(VLOOKUP(A3,Lists!$A$2:$B$14,2,FALSE),"")</x:f>
        <x:v>05 Jul – 11 Jul 2026</x:v>
      </x:c>
      <x:c r="C3" s="18" t="s">
        <x:v>68</x:v>
      </x:c>
      <x:c r="D3" s="18" t="s">
        <x:v>69</x:v>
      </x:c>
      <x:c r="E3" s="18" t="s">
        <x:v>59</x:v>
      </x:c>
      <x:c r="F3" s="18" t="s">
        <x:v>60</x:v>
      </x:c>
      <x:c r="G3" s="17" t="s">
        <x:v>61</x:v>
      </x:c>
      <x:c r="H3" s="17" t="s">
        <x:v>62</x:v>
      </x:c>
      <x:c r="I3" s="19">
        <x:v>46212.0</x:v>
      </x:c>
      <x:c r="J3" s="19">
        <x:v>46212.0</x:v>
      </x:c>
      <x:c r="K3" s="20" t="s">
        <x:v>70</x:v>
      </x:c>
      <x:c r="L3" s="18" t="s">
        <x:v>64</x:v>
      </x:c>
      <x:c r="M3" s="20" t="s">
        <x:v>71</x:v>
      </x:c>
      <x:c r="N3" s="17" t="s">
        <x:v>66</x:v>
      </x:c>
      <x:c r="O3" s="17" t="s">
        <x:v>67</x:v>
      </x:c>
      <x:c r="P3" s="17"/>
      <x:c r="Q3" s="17"/>
      <x:c r="R3" s="17" t="str">
        <x:f t="shared" si="1"/>
      </x:c>
      <x:c r="S3" s="17"/>
    </x:row>
    <x:row r="4">
      <x:c r="A4" s="17" t="s">
        <x:v>72</x:v>
      </x:c>
      <x:c r="B4" s="17" t="str">
        <x:f>IFERROR(VLOOKUP(A4,Lists!$A$2:$B$14,2,FALSE),"")</x:f>
        <x:v>12 Jul – 18 Jul 2026</x:v>
      </x:c>
      <x:c r="C4" s="18" t="s">
        <x:v>73</x:v>
      </x:c>
      <x:c r="D4" s="18" t="s">
        <x:v>58</x:v>
      </x:c>
      <x:c r="E4" s="18" t="s">
        <x:v>59</x:v>
      </x:c>
      <x:c r="F4" s="17" t="s">
        <x:v>74</x:v>
      </x:c>
      <x:c r="G4" s="18" t="s">
        <x:v>61</x:v>
      </x:c>
      <x:c r="H4" s="17" t="s">
        <x:v>62</x:v>
      </x:c>
      <x:c r="I4" s="19">
        <x:v>46213.0</x:v>
      </x:c>
      <x:c r="J4" s="21"/>
      <x:c r="K4" s="17"/>
      <x:c r="L4" s="17" t="s">
        <x:v>66</x:v>
      </x:c>
      <x:c r="M4" s="17"/>
      <x:c r="N4" s="17" t="s">
        <x:v>66</x:v>
      </x:c>
      <x:c r="O4" s="17" t="s">
        <x:v>67</x:v>
      </x:c>
      <x:c r="P4" s="17"/>
      <x:c r="Q4" s="17"/>
      <x:c r="R4" s="17" t="str">
        <x:f t="shared" si="1"/>
      </x:c>
      <x:c r="S4" s="17"/>
    </x:row>
    <x:row r="5">
      <x:c r="A5" s="18" t="s">
        <x:v>72</x:v>
      </x:c>
      <x:c r="B5" s="17" t="str">
        <x:f>IFERROR(VLOOKUP(A5,Lists!$A$2:$B$14,2,FALSE),"")</x:f>
        <x:v>12 Jul – 18 Jul 2026</x:v>
      </x:c>
      <x:c r="C5" s="18" t="s">
        <x:v>75</x:v>
      </x:c>
      <x:c r="D5" s="18" t="s">
        <x:v>76</x:v>
      </x:c>
      <x:c r="E5" s="18" t="s">
        <x:v>59</x:v>
      </x:c>
      <x:c r="F5" s="17"/>
      <x:c r="G5" s="17"/>
      <x:c r="H5" s="17"/>
      <x:c r="I5" s="21"/>
      <x:c r="J5" s="21"/>
      <x:c r="K5" s="17"/>
      <x:c r="L5" s="17"/>
      <x:c r="M5" s="17"/>
      <x:c r="N5" s="17"/>
      <x:c r="O5" s="17"/>
      <x:c r="P5" s="17"/>
      <x:c r="Q5" s="17"/>
      <x:c r="R5" s="17" t="str">
        <x:f t="shared" si="1"/>
      </x:c>
      <x:c r="S5" s="17"/>
    </x:row>
    <x:row r="6">
      <x:c r="A6" s="18" t="s">
        <x:v>72</x:v>
      </x:c>
      <x:c r="B6" s="17" t="str">
        <x:f>IFERROR(VLOOKUP(A6,Lists!$A$2:$B$14,2,FALSE),"")</x:f>
        <x:v>12 Jul – 18 Jul 2026</x:v>
      </x:c>
      <x:c r="C6" s="18" t="s">
        <x:v>77</x:v>
      </x:c>
      <x:c r="D6" s="18" t="s">
        <x:v>58</x:v>
      </x:c>
      <x:c r="E6" s="18" t="s">
        <x:v>59</x:v>
      </x:c>
      <x:c r="F6" s="17"/>
      <x:c r="G6" s="17"/>
      <x:c r="H6" s="17"/>
      <x:c r="I6" s="21"/>
      <x:c r="J6" s="21"/>
      <x:c r="K6" s="17"/>
      <x:c r="L6" s="17"/>
      <x:c r="M6" s="17"/>
      <x:c r="N6" s="17"/>
      <x:c r="O6" s="17"/>
      <x:c r="P6" s="17"/>
      <x:c r="Q6" s="17"/>
      <x:c r="R6" s="17" t="str">
        <x:f t="shared" si="1"/>
      </x:c>
      <x:c r="S6" s="17"/>
    </x:row>
    <x:row r="7">
      <x:c r="A7" s="18" t="s">
        <x:v>78</x:v>
      </x:c>
      <x:c r="B7" s="17" t="str">
        <x:f>IFERROR(VLOOKUP(A7,Lists!$A$2:$B$14,2,FALSE),"")</x:f>
        <x:v>19 Jul – 25 Jul 2026</x:v>
      </x:c>
      <x:c r="C7" s="18" t="s">
        <x:v>79</x:v>
      </x:c>
      <x:c r="D7" s="18" t="s">
        <x:v>69</x:v>
      </x:c>
      <x:c r="E7" s="18" t="s">
        <x:v>59</x:v>
      </x:c>
      <x:c r="F7" s="17"/>
      <x:c r="G7" s="17"/>
      <x:c r="H7" s="17"/>
      <x:c r="I7" s="21"/>
      <x:c r="J7" s="21"/>
      <x:c r="K7" s="17"/>
      <x:c r="L7" s="17"/>
      <x:c r="M7" s="17"/>
      <x:c r="N7" s="17"/>
      <x:c r="O7" s="17"/>
      <x:c r="P7" s="17"/>
      <x:c r="Q7" s="17"/>
      <x:c r="R7" s="17" t="str">
        <x:f t="shared" si="1"/>
      </x:c>
      <x:c r="S7" s="17"/>
    </x:row>
    <x:row r="8">
      <x:c r="A8" s="18" t="s">
        <x:v>78</x:v>
      </x:c>
      <x:c r="B8" s="17" t="str">
        <x:f>IFERROR(VLOOKUP(A8,Lists!$A$2:$B$14,2,FALSE),"")</x:f>
        <x:v>19 Jul – 25 Jul 2026</x:v>
      </x:c>
      <x:c r="C8" s="18" t="s">
        <x:v>80</x:v>
      </x:c>
      <x:c r="D8" s="17" t="s">
        <x:v>81</x:v>
      </x:c>
      <x:c r="E8" s="18" t="s">
        <x:v>59</x:v>
      </x:c>
      <x:c r="F8" s="17"/>
      <x:c r="G8" s="17"/>
      <x:c r="H8" s="17"/>
      <x:c r="I8" s="21"/>
      <x:c r="J8" s="21"/>
      <x:c r="K8" s="17"/>
      <x:c r="L8" s="17"/>
      <x:c r="M8" s="17"/>
      <x:c r="N8" s="17"/>
      <x:c r="O8" s="17"/>
      <x:c r="P8" s="17"/>
      <x:c r="Q8" s="17"/>
      <x:c r="R8" s="17" t="str">
        <x:f t="shared" si="1"/>
      </x:c>
      <x:c r="S8" s="17"/>
    </x:row>
    <x:row r="9">
      <x:c r="A9" s="18" t="s">
        <x:v>82</x:v>
      </x:c>
      <x:c r="B9" s="17" t="str">
        <x:f>IFERROR(VLOOKUP(A9,Lists!$A$2:$B$14,2,FALSE),"")</x:f>
        <x:v>26 Jul – 01 Aug 2026</x:v>
      </x:c>
      <x:c r="C9" s="18" t="s">
        <x:v>83</x:v>
      </x:c>
      <x:c r="D9" s="18" t="s">
        <x:v>76</x:v>
      </x:c>
      <x:c r="E9" s="18" t="s">
        <x:v>59</x:v>
      </x:c>
      <x:c r="F9" s="17"/>
      <x:c r="G9" s="17"/>
      <x:c r="H9" s="17"/>
      <x:c r="I9" s="21"/>
      <x:c r="J9" s="21"/>
      <x:c r="K9" s="17"/>
      <x:c r="L9" s="17"/>
      <x:c r="M9" s="17"/>
      <x:c r="N9" s="17"/>
      <x:c r="O9" s="17"/>
      <x:c r="P9" s="17"/>
      <x:c r="Q9" s="17"/>
      <x:c r="R9" s="17" t="str">
        <x:f t="shared" si="1"/>
      </x:c>
      <x:c r="S9" s="17"/>
    </x:row>
    <x:row r="10">
      <x:c r="A10" s="18" t="s">
        <x:v>82</x:v>
      </x:c>
      <x:c r="B10" s="17" t="str">
        <x:f>IFERROR(VLOOKUP(A10,Lists!$A$2:$B$14,2,FALSE),"")</x:f>
        <x:v>26 Jul – 01 Aug 2026</x:v>
      </x:c>
      <x:c r="C10" s="18" t="s">
        <x:v>84</x:v>
      </x:c>
      <x:c r="D10" s="18" t="s">
        <x:v>58</x:v>
      </x:c>
      <x:c r="E10" s="18" t="s">
        <x:v>59</x:v>
      </x:c>
      <x:c r="F10" s="17"/>
      <x:c r="G10" s="17"/>
      <x:c r="H10" s="17"/>
      <x:c r="I10" s="21"/>
      <x:c r="J10" s="21"/>
      <x:c r="K10" s="17"/>
      <x:c r="L10" s="17"/>
      <x:c r="M10" s="17"/>
      <x:c r="N10" s="17"/>
      <x:c r="O10" s="17"/>
      <x:c r="P10" s="17"/>
      <x:c r="Q10" s="17"/>
      <x:c r="R10" s="17" t="str">
        <x:f t="shared" si="1"/>
      </x:c>
      <x:c r="S10" s="17"/>
    </x:row>
    <x:row r="11">
      <x:c r="A11" s="18" t="s">
        <x:v>82</x:v>
      </x:c>
      <x:c r="B11" s="17" t="str">
        <x:f>IFERROR(VLOOKUP(A11,Lists!$A$2:$B$14,2,FALSE),"")</x:f>
        <x:v>26 Jul – 01 Aug 2026</x:v>
      </x:c>
      <x:c r="C11" s="18" t="s">
        <x:v>85</x:v>
      </x:c>
      <x:c r="D11" s="18" t="s">
        <x:v>69</x:v>
      </x:c>
      <x:c r="E11" s="18" t="s">
        <x:v>59</x:v>
      </x:c>
      <x:c r="F11" s="17"/>
      <x:c r="G11" s="17"/>
      <x:c r="H11" s="17"/>
      <x:c r="I11" s="21"/>
      <x:c r="J11" s="21"/>
      <x:c r="K11" s="17"/>
      <x:c r="L11" s="17"/>
      <x:c r="M11" s="17"/>
      <x:c r="N11" s="17"/>
      <x:c r="O11" s="17"/>
      <x:c r="P11" s="17"/>
      <x:c r="Q11" s="17"/>
      <x:c r="R11" s="17" t="str">
        <x:f t="shared" si="1"/>
      </x:c>
      <x:c r="S11" s="17"/>
    </x:row>
    <x:row r="12">
      <x:c r="A12" s="18" t="s">
        <x:v>86</x:v>
      </x:c>
      <x:c r="B12" s="17" t="str">
        <x:f>IFERROR(VLOOKUP(A12,Lists!$A$2:$B$14,2,FALSE),"")</x:f>
        <x:v>02 Aug – 08 Aug 2026</x:v>
      </x:c>
      <x:c r="C12" s="18" t="s">
        <x:v>87</x:v>
      </x:c>
      <x:c r="D12" s="18" t="s">
        <x:v>69</x:v>
      </x:c>
      <x:c r="E12" s="18" t="s">
        <x:v>59</x:v>
      </x:c>
      <x:c r="F12" s="17"/>
      <x:c r="G12" s="17"/>
      <x:c r="H12" s="17"/>
      <x:c r="I12" s="21"/>
      <x:c r="J12" s="21"/>
      <x:c r="K12" s="17"/>
      <x:c r="L12" s="17"/>
      <x:c r="M12" s="17"/>
      <x:c r="N12" s="17"/>
      <x:c r="O12" s="17"/>
      <x:c r="P12" s="17"/>
      <x:c r="Q12" s="17"/>
      <x:c r="R12" s="17" t="str">
        <x:f t="shared" si="1"/>
      </x:c>
      <x:c r="S12" s="17"/>
    </x:row>
    <x:row r="13">
      <x:c r="A13" s="18" t="s">
        <x:v>86</x:v>
      </x:c>
      <x:c r="B13" s="17" t="str">
        <x:f>IFERROR(VLOOKUP(A13,Lists!$A$2:$B$14,2,FALSE),"")</x:f>
        <x:v>02 Aug – 08 Aug 2026</x:v>
      </x:c>
      <x:c r="C13" s="18" t="s">
        <x:v>88</x:v>
      </x:c>
      <x:c r="D13" s="18" t="s">
        <x:v>58</x:v>
      </x:c>
      <x:c r="E13" s="18" t="s">
        <x:v>59</x:v>
      </x:c>
      <x:c r="F13" s="17"/>
      <x:c r="G13" s="17"/>
      <x:c r="H13" s="17"/>
      <x:c r="I13" s="21"/>
      <x:c r="J13" s="21"/>
      <x:c r="K13" s="17"/>
      <x:c r="L13" s="17"/>
      <x:c r="M13" s="17"/>
      <x:c r="N13" s="17"/>
      <x:c r="O13" s="17"/>
      <x:c r="P13" s="17"/>
      <x:c r="Q13" s="17"/>
      <x:c r="R13" s="17" t="str">
        <x:f t="shared" si="1"/>
      </x:c>
      <x:c r="S13" s="17"/>
    </x:row>
    <x:row r="14">
      <x:c r="A14" s="18" t="s">
        <x:v>89</x:v>
      </x:c>
      <x:c r="B14" s="17" t="str">
        <x:f>IFERROR(VLOOKUP(A14,Lists!$A$2:$B$14,2,FALSE),"")</x:f>
        <x:v>09 Aug – 15 Aug 2026</x:v>
      </x:c>
      <x:c r="C14" s="18" t="s">
        <x:v>90</x:v>
      </x:c>
      <x:c r="D14" s="18" t="s">
        <x:v>69</x:v>
      </x:c>
      <x:c r="E14" s="18" t="s">
        <x:v>59</x:v>
      </x:c>
      <x:c r="F14" s="17"/>
      <x:c r="G14" s="17"/>
      <x:c r="H14" s="17"/>
      <x:c r="I14" s="21"/>
      <x:c r="J14" s="21"/>
      <x:c r="K14" s="17"/>
      <x:c r="L14" s="17"/>
      <x:c r="M14" s="17"/>
      <x:c r="N14" s="17"/>
      <x:c r="O14" s="17"/>
      <x:c r="P14" s="17"/>
      <x:c r="Q14" s="17"/>
      <x:c r="R14" s="17" t="str">
        <x:f t="shared" si="1"/>
      </x:c>
      <x:c r="S14" s="17"/>
    </x:row>
    <x:row r="15">
      <x:c r="A15" s="18" t="s">
        <x:v>89</x:v>
      </x:c>
      <x:c r="B15" s="17" t="str">
        <x:f>IFERROR(VLOOKUP(A15,Lists!$A$2:$B$14,2,FALSE),"")</x:f>
        <x:v>09 Aug – 15 Aug 2026</x:v>
      </x:c>
      <x:c r="C15" s="18" t="s">
        <x:v>91</x:v>
      </x:c>
      <x:c r="D15" s="18" t="s">
        <x:v>58</x:v>
      </x:c>
      <x:c r="E15" s="18" t="s">
        <x:v>59</x:v>
      </x:c>
      <x:c r="F15" s="17"/>
      <x:c r="G15" s="17"/>
      <x:c r="H15" s="17"/>
      <x:c r="I15" s="21"/>
      <x:c r="J15" s="21"/>
      <x:c r="K15" s="17"/>
      <x:c r="L15" s="17"/>
      <x:c r="M15" s="17"/>
      <x:c r="N15" s="17"/>
      <x:c r="O15" s="17"/>
      <x:c r="P15" s="17"/>
      <x:c r="Q15" s="17"/>
      <x:c r="R15" s="17" t="str">
        <x:f t="shared" si="1"/>
      </x:c>
      <x:c r="S15" s="17"/>
    </x:row>
    <x:row r="16">
      <x:c r="A16" s="18" t="s">
        <x:v>89</x:v>
      </x:c>
      <x:c r="B16" s="17" t="str">
        <x:f>IFERROR(VLOOKUP(A16,Lists!$A$2:$B$14,2,FALSE),"")</x:f>
        <x:v>09 Aug – 15 Aug 2026</x:v>
      </x:c>
      <x:c r="C16" s="18" t="s">
        <x:v>92</x:v>
      </x:c>
      <x:c r="D16" s="18" t="s">
        <x:v>76</x:v>
      </x:c>
      <x:c r="E16" s="18" t="s">
        <x:v>59</x:v>
      </x:c>
      <x:c r="F16" s="17"/>
      <x:c r="G16" s="17"/>
      <x:c r="H16" s="17"/>
      <x:c r="I16" s="21"/>
      <x:c r="J16" s="21"/>
      <x:c r="K16" s="17"/>
      <x:c r="L16" s="17"/>
      <x:c r="M16" s="17"/>
      <x:c r="N16" s="17"/>
      <x:c r="O16" s="17"/>
      <x:c r="P16" s="17"/>
      <x:c r="Q16" s="17"/>
      <x:c r="R16" s="17" t="str">
        <x:f t="shared" si="1"/>
      </x:c>
      <x:c r="S16" s="17"/>
    </x:row>
    <x:row r="17">
      <x:c r="A17" s="18" t="s">
        <x:v>93</x:v>
      </x:c>
      <x:c r="B17" s="17" t="str">
        <x:f>IFERROR(VLOOKUP(A17,Lists!$A$2:$B$14,2,FALSE),"")</x:f>
        <x:v>16 Aug – 22 Aug 2026</x:v>
      </x:c>
      <x:c r="C17" s="17"/>
      <x:c r="D17" s="17"/>
      <x:c r="E17" s="17"/>
      <x:c r="F17" s="17"/>
      <x:c r="G17" s="17"/>
      <x:c r="H17" s="17"/>
      <x:c r="I17" s="21"/>
      <x:c r="J17" s="21"/>
      <x:c r="K17" s="17"/>
      <x:c r="L17" s="17"/>
      <x:c r="M17" s="17"/>
      <x:c r="N17" s="17"/>
      <x:c r="O17" s="17"/>
      <x:c r="P17" s="17"/>
      <x:c r="Q17" s="17"/>
      <x:c r="R17" s="17" t="str">
        <x:f t="shared" si="1"/>
      </x:c>
      <x:c r="S17" s="17"/>
    </x:row>
    <x:row r="18">
      <x:c r="A18" s="18" t="s">
        <x:v>93</x:v>
      </x:c>
      <x:c r="B18" s="17" t="str">
        <x:f>IFERROR(VLOOKUP(A18,Lists!$A$2:$B$14,2,FALSE),"")</x:f>
        <x:v>16 Aug – 22 Aug 2026</x:v>
      </x:c>
      <x:c r="C18" s="17"/>
      <x:c r="D18" s="17"/>
      <x:c r="E18" s="17"/>
      <x:c r="F18" s="17"/>
      <x:c r="G18" s="17"/>
      <x:c r="H18" s="17"/>
      <x:c r="I18" s="21"/>
      <x:c r="J18" s="21"/>
      <x:c r="K18" s="17"/>
      <x:c r="L18" s="17"/>
      <x:c r="M18" s="17"/>
      <x:c r="N18" s="17"/>
      <x:c r="O18" s="17"/>
      <x:c r="P18" s="17"/>
      <x:c r="Q18" s="17"/>
      <x:c r="R18" s="17" t="str">
        <x:f t="shared" si="1"/>
      </x:c>
      <x:c r="S18" s="17"/>
    </x:row>
    <x:row r="19">
      <x:c r="A19" s="18" t="s">
        <x:v>94</x:v>
      </x:c>
      <x:c r="B19" s="17" t="str">
        <x:f>IFERROR(VLOOKUP(A19,Lists!$A$2:$B$14,2,FALSE),"")</x:f>
        <x:v>23 Aug – 29 Aug 2026</x:v>
      </x:c>
      <x:c r="C19" s="17"/>
      <x:c r="D19" s="17"/>
      <x:c r="E19" s="17"/>
      <x:c r="F19" s="17"/>
      <x:c r="G19" s="17"/>
      <x:c r="H19" s="17"/>
      <x:c r="I19" s="21"/>
      <x:c r="J19" s="21"/>
      <x:c r="K19" s="17"/>
      <x:c r="L19" s="17"/>
      <x:c r="M19" s="17"/>
      <x:c r="N19" s="17"/>
      <x:c r="O19" s="17"/>
      <x:c r="P19" s="17"/>
      <x:c r="Q19" s="17"/>
      <x:c r="R19" s="17" t="str">
        <x:f t="shared" si="1"/>
      </x:c>
      <x:c r="S19" s="17"/>
    </x:row>
    <x:row r="20">
      <x:c r="A20" s="18" t="s">
        <x:v>94</x:v>
      </x:c>
      <x:c r="B20" s="17" t="str">
        <x:f>IFERROR(VLOOKUP(A20,Lists!$A$2:$B$14,2,FALSE),"")</x:f>
        <x:v>23 Aug – 29 Aug 2026</x:v>
      </x:c>
      <x:c r="C20" s="17"/>
      <x:c r="D20" s="17"/>
      <x:c r="E20" s="17"/>
      <x:c r="F20" s="17"/>
      <x:c r="G20" s="17"/>
      <x:c r="H20" s="17"/>
      <x:c r="I20" s="21"/>
      <x:c r="J20" s="21"/>
      <x:c r="K20" s="17"/>
      <x:c r="L20" s="17"/>
      <x:c r="M20" s="17"/>
      <x:c r="N20" s="17"/>
      <x:c r="O20" s="17"/>
      <x:c r="P20" s="17"/>
      <x:c r="Q20" s="17"/>
      <x:c r="R20" s="17" t="str">
        <x:f t="shared" si="1"/>
      </x:c>
      <x:c r="S20" s="17"/>
    </x:row>
    <x:row r="21" ht="15.75" customHeight="1">
      <x:c r="A21" s="18" t="s">
        <x:v>94</x:v>
      </x:c>
      <x:c r="B21" s="17" t="str">
        <x:f>IFERROR(VLOOKUP(A21,Lists!$A$2:$B$14,2,FALSE),"")</x:f>
        <x:v>23 Aug – 29 Aug 2026</x:v>
      </x:c>
      <x:c r="C21" s="17"/>
      <x:c r="D21" s="17"/>
      <x:c r="E21" s="17"/>
      <x:c r="F21" s="17"/>
      <x:c r="G21" s="17"/>
      <x:c r="H21" s="17"/>
      <x:c r="I21" s="21"/>
      <x:c r="J21" s="21"/>
      <x:c r="K21" s="17"/>
      <x:c r="L21" s="17"/>
      <x:c r="M21" s="17"/>
      <x:c r="N21" s="17"/>
      <x:c r="O21" s="17"/>
      <x:c r="P21" s="17"/>
      <x:c r="Q21" s="17"/>
      <x:c r="R21" s="17" t="str">
        <x:f t="shared" si="1"/>
      </x:c>
      <x:c r="S21" s="17"/>
    </x:row>
    <x:row r="22" ht="15.75" customHeight="1">
      <x:c r="A22" s="18" t="s">
        <x:v>95</x:v>
      </x:c>
      <x:c r="B22" s="17" t="str">
        <x:f>IFERROR(VLOOKUP(A22,Lists!$A$2:$B$14,2,FALSE),"")</x:f>
        <x:v>30 Aug – 05 Sep 2026</x:v>
      </x:c>
      <x:c r="C22" s="17"/>
      <x:c r="D22" s="17"/>
      <x:c r="E22" s="17"/>
      <x:c r="F22" s="17"/>
      <x:c r="G22" s="17"/>
      <x:c r="H22" s="17"/>
      <x:c r="I22" s="21"/>
      <x:c r="J22" s="21"/>
      <x:c r="K22" s="17"/>
      <x:c r="L22" s="17"/>
      <x:c r="M22" s="17"/>
      <x:c r="N22" s="17"/>
      <x:c r="O22" s="17"/>
      <x:c r="P22" s="17"/>
      <x:c r="Q22" s="17"/>
      <x:c r="R22" s="17" t="str">
        <x:f t="shared" si="1"/>
      </x:c>
      <x:c r="S22" s="17"/>
    </x:row>
    <x:row r="23" ht="15.75" customHeight="1">
      <x:c r="A23" s="18" t="s">
        <x:v>95</x:v>
      </x:c>
      <x:c r="B23" s="17" t="str">
        <x:f>IFERROR(VLOOKUP(A23,Lists!$A$2:$B$14,2,FALSE),"")</x:f>
        <x:v>30 Aug – 05 Sep 2026</x:v>
      </x:c>
      <x:c r="C23" s="17"/>
      <x:c r="D23" s="17"/>
      <x:c r="E23" s="17"/>
      <x:c r="F23" s="17"/>
      <x:c r="G23" s="17"/>
      <x:c r="H23" s="17"/>
      <x:c r="I23" s="21"/>
      <x:c r="J23" s="21"/>
      <x:c r="K23" s="17"/>
      <x:c r="L23" s="17"/>
      <x:c r="M23" s="17"/>
      <x:c r="N23" s="17"/>
      <x:c r="O23" s="17"/>
      <x:c r="P23" s="17"/>
      <x:c r="Q23" s="17"/>
      <x:c r="R23" s="17" t="str">
        <x:f t="shared" si="1"/>
      </x:c>
      <x:c r="S23" s="17"/>
    </x:row>
    <x:row r="24" ht="15.75" customHeight="1">
      <x:c r="A24" s="18" t="s">
        <x:v>96</x:v>
      </x:c>
      <x:c r="B24" s="17" t="str">
        <x:f>IFERROR(VLOOKUP(A24,Lists!$A$2:$B$14,2,FALSE),"")</x:f>
        <x:v>06 Sep – 12 Sep 2026</x:v>
      </x:c>
      <x:c r="C24" s="17"/>
      <x:c r="D24" s="17"/>
      <x:c r="E24" s="17"/>
      <x:c r="F24" s="17"/>
      <x:c r="G24" s="17"/>
      <x:c r="H24" s="17"/>
      <x:c r="I24" s="21"/>
      <x:c r="J24" s="21"/>
      <x:c r="K24" s="17"/>
      <x:c r="L24" s="17"/>
      <x:c r="M24" s="17"/>
      <x:c r="N24" s="17"/>
      <x:c r="O24" s="17"/>
      <x:c r="P24" s="17"/>
      <x:c r="Q24" s="17"/>
      <x:c r="R24" s="17" t="str">
        <x:f t="shared" si="1"/>
      </x:c>
      <x:c r="S24" s="17"/>
    </x:row>
    <x:row r="25" ht="15.75" customHeight="1">
      <x:c r="A25" s="18" t="s">
        <x:v>96</x:v>
      </x:c>
      <x:c r="B25" s="17" t="str">
        <x:f>IFERROR(VLOOKUP(A25,Lists!$A$2:$B$14,2,FALSE),"")</x:f>
        <x:v>06 Sep – 12 Sep 2026</x:v>
      </x:c>
      <x:c r="C25" s="17"/>
      <x:c r="D25" s="17"/>
      <x:c r="E25" s="17"/>
      <x:c r="F25" s="17"/>
      <x:c r="G25" s="17"/>
      <x:c r="H25" s="17"/>
      <x:c r="I25" s="21"/>
      <x:c r="J25" s="21"/>
      <x:c r="K25" s="17"/>
      <x:c r="L25" s="17"/>
      <x:c r="M25" s="17"/>
      <x:c r="N25" s="17"/>
      <x:c r="O25" s="17"/>
      <x:c r="P25" s="17"/>
      <x:c r="Q25" s="17"/>
      <x:c r="R25" s="17" t="str">
        <x:f t="shared" si="1"/>
      </x:c>
      <x:c r="S25" s="17"/>
    </x:row>
    <x:row r="26" ht="15.75" customHeight="1">
      <x:c r="A26" s="18" t="s">
        <x:v>96</x:v>
      </x:c>
      <x:c r="B26" s="17" t="str">
        <x:f>IFERROR(VLOOKUP(A26,Lists!$A$2:$B$14,2,FALSE),"")</x:f>
        <x:v>06 Sep – 12 Sep 2026</x:v>
      </x:c>
      <x:c r="C26" s="17"/>
      <x:c r="D26" s="17"/>
      <x:c r="E26" s="17"/>
      <x:c r="F26" s="17"/>
      <x:c r="G26" s="17"/>
      <x:c r="H26" s="17"/>
      <x:c r="I26" s="21"/>
      <x:c r="J26" s="21"/>
      <x:c r="K26" s="17"/>
      <x:c r="L26" s="17"/>
      <x:c r="M26" s="17"/>
      <x:c r="N26" s="17"/>
      <x:c r="O26" s="17"/>
      <x:c r="P26" s="17"/>
      <x:c r="Q26" s="17"/>
      <x:c r="R26" s="17" t="str">
        <x:f t="shared" si="1"/>
      </x:c>
      <x:c r="S26" s="17"/>
    </x:row>
    <x:row r="27" ht="15.75" customHeight="1">
      <x:c r="A27" s="18" t="s">
        <x:v>97</x:v>
      </x:c>
      <x:c r="B27" s="17" t="str">
        <x:f>IFERROR(VLOOKUP(A27,Lists!$A$2:$B$14,2,FALSE),"")</x:f>
        <x:v>13 Sep – 19 Sep 2026</x:v>
      </x:c>
      <x:c r="C27" s="17"/>
      <x:c r="D27" s="17"/>
      <x:c r="E27" s="17"/>
      <x:c r="F27" s="17"/>
      <x:c r="G27" s="17"/>
      <x:c r="H27" s="17"/>
      <x:c r="I27" s="21"/>
      <x:c r="J27" s="21"/>
      <x:c r="K27" s="17"/>
      <x:c r="L27" s="17"/>
      <x:c r="M27" s="17"/>
      <x:c r="N27" s="17"/>
      <x:c r="O27" s="17"/>
      <x:c r="P27" s="17"/>
      <x:c r="Q27" s="17"/>
      <x:c r="R27" s="17" t="str">
        <x:f t="shared" si="1"/>
      </x:c>
      <x:c r="S27" s="17"/>
    </x:row>
    <x:row r="28" ht="15.75" customHeight="1">
      <x:c r="A28" s="18" t="s">
        <x:v>97</x:v>
      </x:c>
      <x:c r="B28" s="17" t="str">
        <x:f>IFERROR(VLOOKUP(A28,Lists!$A$2:$B$14,2,FALSE),"")</x:f>
        <x:v>13 Sep – 19 Sep 2026</x:v>
      </x:c>
      <x:c r="C28" s="17"/>
      <x:c r="D28" s="17"/>
      <x:c r="E28" s="17"/>
      <x:c r="F28" s="17"/>
      <x:c r="G28" s="17"/>
      <x:c r="H28" s="17"/>
      <x:c r="I28" s="21"/>
      <x:c r="J28" s="21"/>
      <x:c r="K28" s="17"/>
      <x:c r="L28" s="17"/>
      <x:c r="M28" s="17"/>
      <x:c r="N28" s="17"/>
      <x:c r="O28" s="17"/>
      <x:c r="P28" s="17"/>
      <x:c r="Q28" s="17"/>
      <x:c r="R28" s="17" t="str">
        <x:f t="shared" si="1"/>
      </x:c>
      <x:c r="S28" s="17"/>
    </x:row>
    <x:row r="29" ht="15.75" customHeight="1">
      <x:c r="A29" s="18" t="s">
        <x:v>98</x:v>
      </x:c>
      <x:c r="B29" s="17" t="str">
        <x:f>IFERROR(VLOOKUP(A29,Lists!$A$2:$B$14,2,FALSE),"")</x:f>
        <x:v>20 Sep – 26 Sep 2026</x:v>
      </x:c>
      <x:c r="C29" s="17"/>
      <x:c r="D29" s="17"/>
      <x:c r="E29" s="17"/>
      <x:c r="F29" s="17"/>
      <x:c r="G29" s="17"/>
      <x:c r="H29" s="17"/>
      <x:c r="I29" s="21"/>
      <x:c r="J29" s="21"/>
      <x:c r="K29" s="17"/>
      <x:c r="L29" s="17"/>
      <x:c r="M29" s="17"/>
      <x:c r="N29" s="17"/>
      <x:c r="O29" s="17"/>
      <x:c r="P29" s="17"/>
      <x:c r="Q29" s="17"/>
      <x:c r="R29" s="17" t="str">
        <x:f t="shared" si="1"/>
      </x:c>
      <x:c r="S29" s="17"/>
    </x:row>
    <x:row r="30" ht="15.75" customHeight="1">
      <x:c r="A30" s="18" t="s">
        <x:v>98</x:v>
      </x:c>
      <x:c r="B30" s="17" t="str">
        <x:f>IFERROR(VLOOKUP(A30,Lists!$A$2:$B$14,2,FALSE),"")</x:f>
        <x:v>20 Sep – 26 Sep 2026</x:v>
      </x:c>
      <x:c r="C30" s="17"/>
      <x:c r="D30" s="17"/>
      <x:c r="E30" s="17"/>
      <x:c r="F30" s="17"/>
      <x:c r="G30" s="17"/>
      <x:c r="H30" s="17"/>
      <x:c r="I30" s="21"/>
      <x:c r="J30" s="21"/>
      <x:c r="K30" s="17"/>
      <x:c r="L30" s="17"/>
      <x:c r="M30" s="17"/>
      <x:c r="N30" s="17"/>
      <x:c r="O30" s="17"/>
      <x:c r="P30" s="17"/>
      <x:c r="Q30" s="17"/>
      <x:c r="R30" s="17" t="str">
        <x:f t="shared" si="1"/>
      </x:c>
      <x:c r="S30" s="17"/>
    </x:row>
    <x:row r="31" ht="15.75" customHeight="1">
      <x:c r="A31" s="18" t="s">
        <x:v>98</x:v>
      </x:c>
      <x:c r="B31" s="17" t="str">
        <x:f>IFERROR(VLOOKUP(A31,Lists!$A$2:$B$14,2,FALSE),"")</x:f>
        <x:v>20 Sep – 26 Sep 2026</x:v>
      </x:c>
      <x:c r="C31" s="17"/>
      <x:c r="D31" s="17"/>
      <x:c r="E31" s="17"/>
      <x:c r="F31" s="17"/>
      <x:c r="G31" s="17"/>
      <x:c r="H31" s="17"/>
      <x:c r="I31" s="21"/>
      <x:c r="J31" s="21"/>
      <x:c r="K31" s="17"/>
      <x:c r="L31" s="17"/>
      <x:c r="M31" s="17"/>
      <x:c r="N31" s="17"/>
      <x:c r="O31" s="17"/>
      <x:c r="P31" s="17"/>
      <x:c r="Q31" s="17"/>
      <x:c r="R31" s="17" t="str">
        <x:f t="shared" si="1"/>
      </x:c>
      <x:c r="S31" s="17"/>
    </x:row>
    <x:row r="32" ht="15.75" customHeight="1">
      <x:c r="A32" s="18" t="s">
        <x:v>99</x:v>
      </x:c>
      <x:c r="B32" s="17" t="str">
        <x:f>IFERROR(VLOOKUP(A32,Lists!$A$2:$B$14,2,FALSE),"")</x:f>
        <x:v>27 Sep – 03 Oct 2026</x:v>
      </x:c>
      <x:c r="C32" s="17"/>
      <x:c r="D32" s="17"/>
      <x:c r="E32" s="17"/>
      <x:c r="F32" s="17"/>
      <x:c r="G32" s="17"/>
      <x:c r="H32" s="17"/>
      <x:c r="I32" s="21"/>
      <x:c r="J32" s="21"/>
      <x:c r="K32" s="17"/>
      <x:c r="L32" s="17"/>
      <x:c r="M32" s="17"/>
      <x:c r="N32" s="17"/>
      <x:c r="O32" s="17"/>
      <x:c r="P32" s="17"/>
      <x:c r="Q32" s="17"/>
      <x:c r="R32" s="17" t="str">
        <x:f t="shared" si="1"/>
      </x:c>
      <x:c r="S32" s="17"/>
    </x:row>
    <x:row r="33" ht="15.75" customHeight="1">
      <x:c r="A33" s="18" t="s">
        <x:v>99</x:v>
      </x:c>
      <x:c r="B33" s="17" t="str">
        <x:f>IFERROR(VLOOKUP(A33,Lists!$A$2:$B$14,2,FALSE),"")</x:f>
        <x:v>27 Sep – 03 Oct 2026</x:v>
      </x:c>
      <x:c r="C33" s="17"/>
      <x:c r="D33" s="17"/>
      <x:c r="E33" s="17"/>
      <x:c r="F33" s="17"/>
      <x:c r="G33" s="17"/>
      <x:c r="H33" s="17"/>
      <x:c r="I33" s="21"/>
      <x:c r="J33" s="21"/>
      <x:c r="K33" s="17"/>
      <x:c r="L33" s="17"/>
      <x:c r="M33" s="17"/>
      <x:c r="N33" s="17"/>
      <x:c r="O33" s="17"/>
      <x:c r="P33" s="17"/>
      <x:c r="Q33" s="17"/>
      <x:c r="R33" s="17" t="str">
        <x:f t="shared" si="1"/>
      </x:c>
      <x:c r="S33" s="17"/>
    </x:row>
    <x:row r="34" ht="15.75" customHeight="1">
      <x:c r="A34" s="17"/>
      <x:c r="B34" s="17" t="str">
        <x:f>IFERROR(VLOOKUP(A34,Lists!$A$2:$B$14,2,FALSE),"")</x:f>
      </x:c>
      <x:c r="C34" s="17"/>
      <x:c r="D34" s="17"/>
      <x:c r="E34" s="17"/>
      <x:c r="F34" s="17"/>
      <x:c r="G34" s="17"/>
      <x:c r="H34" s="17"/>
      <x:c r="I34" s="21"/>
      <x:c r="J34" s="21"/>
      <x:c r="K34" s="17"/>
      <x:c r="L34" s="17"/>
      <x:c r="M34" s="17"/>
      <x:c r="N34" s="17"/>
      <x:c r="O34" s="17"/>
      <x:c r="P34" s="17"/>
      <x:c r="Q34" s="17"/>
      <x:c r="R34" s="17" t="str">
        <x:f t="shared" si="1"/>
      </x:c>
      <x:c r="S34" s="17"/>
    </x:row>
    <x:row r="35" ht="15.75" customHeight="1">
      <x:c r="A35" s="17"/>
      <x:c r="B35" s="17" t="str">
        <x:f>IFERROR(VLOOKUP(A35,Lists!$A$2:$B$14,2,FALSE),"")</x:f>
      </x:c>
      <x:c r="C35" s="17"/>
      <x:c r="D35" s="17"/>
      <x:c r="E35" s="17"/>
      <x:c r="F35" s="17"/>
      <x:c r="G35" s="17"/>
      <x:c r="H35" s="17"/>
      <x:c r="I35" s="21"/>
      <x:c r="J35" s="21"/>
      <x:c r="K35" s="17"/>
      <x:c r="L35" s="17"/>
      <x:c r="M35" s="17"/>
      <x:c r="N35" s="17"/>
      <x:c r="O35" s="17"/>
      <x:c r="P35" s="17"/>
      <x:c r="Q35" s="17"/>
      <x:c r="R35" s="17" t="str">
        <x:f t="shared" si="1"/>
      </x:c>
      <x:c r="S35" s="17"/>
    </x:row>
    <x:row r="36" ht="15.75" customHeight="1">
      <x:c r="A36" s="17"/>
      <x:c r="B36" s="17" t="str">
        <x:f>IFERROR(VLOOKUP(A36,Lists!$A$2:$B$14,2,FALSE),"")</x:f>
      </x:c>
      <x:c r="C36" s="17"/>
      <x:c r="D36" s="17"/>
      <x:c r="E36" s="17"/>
      <x:c r="F36" s="17"/>
      <x:c r="G36" s="17"/>
      <x:c r="H36" s="17"/>
      <x:c r="I36" s="21"/>
      <x:c r="J36" s="21"/>
      <x:c r="K36" s="17"/>
      <x:c r="L36" s="17"/>
      <x:c r="M36" s="17"/>
      <x:c r="N36" s="17"/>
      <x:c r="O36" s="17"/>
      <x:c r="P36" s="17"/>
      <x:c r="Q36" s="17"/>
      <x:c r="R36" s="17" t="str">
        <x:f t="shared" si="1"/>
      </x:c>
      <x:c r="S36" s="17"/>
    </x:row>
    <x:row r="37" ht="15.75" customHeight="1">
      <x:c r="A37" s="17"/>
      <x:c r="B37" s="17" t="str">
        <x:f>IFERROR(VLOOKUP(A37,Lists!$A$2:$B$14,2,FALSE),"")</x:f>
      </x:c>
      <x:c r="C37" s="17"/>
      <x:c r="D37" s="17"/>
      <x:c r="E37" s="17"/>
      <x:c r="F37" s="17"/>
      <x:c r="G37" s="17"/>
      <x:c r="H37" s="17"/>
      <x:c r="I37" s="21"/>
      <x:c r="J37" s="21"/>
      <x:c r="K37" s="17"/>
      <x:c r="L37" s="17"/>
      <x:c r="M37" s="17"/>
      <x:c r="N37" s="17"/>
      <x:c r="O37" s="17"/>
      <x:c r="P37" s="17"/>
      <x:c r="Q37" s="17"/>
      <x:c r="R37" s="17" t="str">
        <x:f t="shared" si="1"/>
      </x:c>
      <x:c r="S37" s="17"/>
    </x:row>
    <x:row r="38" ht="15.75" customHeight="1">
      <x:c r="A38" s="17"/>
      <x:c r="B38" s="17" t="str">
        <x:f>IFERROR(VLOOKUP(A38,Lists!$A$2:$B$14,2,FALSE),"")</x:f>
      </x:c>
      <x:c r="C38" s="17"/>
      <x:c r="D38" s="17"/>
      <x:c r="E38" s="17"/>
      <x:c r="F38" s="17"/>
      <x:c r="G38" s="17"/>
      <x:c r="H38" s="17"/>
      <x:c r="I38" s="21"/>
      <x:c r="J38" s="21"/>
      <x:c r="K38" s="17"/>
      <x:c r="L38" s="17"/>
      <x:c r="M38" s="17"/>
      <x:c r="N38" s="17"/>
      <x:c r="O38" s="17"/>
      <x:c r="P38" s="17"/>
      <x:c r="Q38" s="17"/>
      <x:c r="R38" s="17" t="str">
        <x:f t="shared" si="1"/>
      </x:c>
      <x:c r="S38" s="17"/>
    </x:row>
    <x:row r="39" ht="15.75" customHeight="1">
      <x:c r="A39" s="17"/>
      <x:c r="B39" s="17" t="str">
        <x:f>IFERROR(VLOOKUP(A39,Lists!$A$2:$B$14,2,FALSE),"")</x:f>
      </x:c>
      <x:c r="C39" s="17"/>
      <x:c r="D39" s="17"/>
      <x:c r="E39" s="17"/>
      <x:c r="F39" s="17"/>
      <x:c r="G39" s="17"/>
      <x:c r="H39" s="17"/>
      <x:c r="I39" s="21"/>
      <x:c r="J39" s="21"/>
      <x:c r="K39" s="17"/>
      <x:c r="L39" s="17"/>
      <x:c r="M39" s="17"/>
      <x:c r="N39" s="17"/>
      <x:c r="O39" s="17"/>
      <x:c r="P39" s="17"/>
      <x:c r="Q39" s="17"/>
      <x:c r="R39" s="17" t="str">
        <x:f t="shared" si="1"/>
      </x:c>
      <x:c r="S39" s="17"/>
    </x:row>
    <x:row r="40" ht="15.75" customHeight="1">
      <x:c r="A40" s="17"/>
      <x:c r="B40" s="17" t="str">
        <x:f>IFERROR(VLOOKUP(A40,Lists!$A$2:$B$14,2,FALSE),"")</x:f>
      </x:c>
      <x:c r="C40" s="17"/>
      <x:c r="D40" s="17"/>
      <x:c r="E40" s="17"/>
      <x:c r="F40" s="17"/>
      <x:c r="G40" s="17"/>
      <x:c r="H40" s="17"/>
      <x:c r="I40" s="21"/>
      <x:c r="J40" s="21"/>
      <x:c r="K40" s="17"/>
      <x:c r="L40" s="17"/>
      <x:c r="M40" s="17"/>
      <x:c r="N40" s="17"/>
      <x:c r="O40" s="17"/>
      <x:c r="P40" s="17"/>
      <x:c r="Q40" s="17"/>
      <x:c r="R40" s="17" t="str">
        <x:f t="shared" si="1"/>
      </x:c>
      <x:c r="S40" s="17"/>
    </x:row>
    <x:row r="41" ht="15.75" customHeight="1">
      <x:c r="A41" s="17"/>
      <x:c r="B41" s="17" t="str">
        <x:f>IFERROR(VLOOKUP(A41,Lists!$A$2:$B$14,2,FALSE),"")</x:f>
      </x:c>
      <x:c r="C41" s="17"/>
      <x:c r="D41" s="17"/>
      <x:c r="E41" s="17"/>
      <x:c r="F41" s="17"/>
      <x:c r="G41" s="17"/>
      <x:c r="H41" s="17"/>
      <x:c r="I41" s="21"/>
      <x:c r="J41" s="21"/>
      <x:c r="K41" s="17"/>
      <x:c r="L41" s="17"/>
      <x:c r="M41" s="17"/>
      <x:c r="N41" s="17"/>
      <x:c r="O41" s="17"/>
      <x:c r="P41" s="17"/>
      <x:c r="Q41" s="17"/>
      <x:c r="R41" s="17" t="str">
        <x:f t="shared" si="1"/>
      </x:c>
      <x:c r="S41" s="17"/>
    </x:row>
    <x:row r="42" ht="15.75" customHeight="1">
      <x:c r="A42" s="17"/>
      <x:c r="B42" s="17" t="str">
        <x:f>IFERROR(VLOOKUP(A42,Lists!$A$2:$B$14,2,FALSE),"")</x:f>
      </x:c>
      <x:c r="C42" s="17"/>
      <x:c r="D42" s="17"/>
      <x:c r="E42" s="17"/>
      <x:c r="F42" s="17"/>
      <x:c r="G42" s="17"/>
      <x:c r="H42" s="17"/>
      <x:c r="I42" s="21"/>
      <x:c r="J42" s="21"/>
      <x:c r="K42" s="17"/>
      <x:c r="L42" s="17"/>
      <x:c r="M42" s="17"/>
      <x:c r="N42" s="17"/>
      <x:c r="O42" s="17"/>
      <x:c r="P42" s="17"/>
      <x:c r="Q42" s="17"/>
      <x:c r="R42" s="17" t="str">
        <x:f t="shared" si="1"/>
      </x:c>
      <x:c r="S42" s="17"/>
    </x:row>
    <x:row r="43" ht="15.75" customHeight="1">
      <x:c r="A43" s="17"/>
      <x:c r="B43" s="17" t="str">
        <x:f>IFERROR(VLOOKUP(A43,Lists!$A$2:$B$14,2,FALSE),"")</x:f>
      </x:c>
      <x:c r="C43" s="17"/>
      <x:c r="D43" s="17"/>
      <x:c r="E43" s="17"/>
      <x:c r="F43" s="17"/>
      <x:c r="G43" s="17"/>
      <x:c r="H43" s="17"/>
      <x:c r="I43" s="21"/>
      <x:c r="J43" s="21"/>
      <x:c r="K43" s="17"/>
      <x:c r="L43" s="17"/>
      <x:c r="M43" s="17"/>
      <x:c r="N43" s="17"/>
      <x:c r="O43" s="17"/>
      <x:c r="P43" s="17"/>
      <x:c r="Q43" s="17"/>
      <x:c r="R43" s="17" t="str">
        <x:f t="shared" si="1"/>
      </x:c>
      <x:c r="S43" s="17"/>
    </x:row>
    <x:row r="44" ht="15.75" customHeight="1">
      <x:c r="A44" s="17"/>
      <x:c r="B44" s="17" t="str">
        <x:f>IFERROR(VLOOKUP(A44,Lists!$A$2:$B$14,2,FALSE),"")</x:f>
      </x:c>
      <x:c r="C44" s="17"/>
      <x:c r="D44" s="17"/>
      <x:c r="E44" s="17"/>
      <x:c r="F44" s="17"/>
      <x:c r="G44" s="17"/>
      <x:c r="H44" s="17"/>
      <x:c r="I44" s="21"/>
      <x:c r="J44" s="21"/>
      <x:c r="K44" s="17"/>
      <x:c r="L44" s="17"/>
      <x:c r="M44" s="17"/>
      <x:c r="N44" s="17"/>
      <x:c r="O44" s="17"/>
      <x:c r="P44" s="17"/>
      <x:c r="Q44" s="17"/>
      <x:c r="R44" s="17" t="str">
        <x:f t="shared" si="1"/>
      </x:c>
      <x:c r="S44" s="17"/>
    </x:row>
    <x:row r="45" ht="15.75" customHeight="1">
      <x:c r="A45" s="17"/>
      <x:c r="B45" s="17" t="str">
        <x:f>IFERROR(VLOOKUP(A45,Lists!$A$2:$B$14,2,FALSE),"")</x:f>
      </x:c>
      <x:c r="C45" s="17"/>
      <x:c r="D45" s="17"/>
      <x:c r="E45" s="17"/>
      <x:c r="F45" s="17"/>
      <x:c r="G45" s="17"/>
      <x:c r="H45" s="17"/>
      <x:c r="I45" s="21"/>
      <x:c r="J45" s="21"/>
      <x:c r="K45" s="17"/>
      <x:c r="L45" s="17"/>
      <x:c r="M45" s="17"/>
      <x:c r="N45" s="17"/>
      <x:c r="O45" s="17"/>
      <x:c r="P45" s="17"/>
      <x:c r="Q45" s="17"/>
      <x:c r="R45" s="17" t="str">
        <x:f t="shared" si="1"/>
      </x:c>
      <x:c r="S45" s="17"/>
    </x:row>
    <x:row r="46" ht="15.75" customHeight="1">
      <x:c r="A46" s="17"/>
      <x:c r="B46" s="17" t="str">
        <x:f>IFERROR(VLOOKUP(A46,Lists!$A$2:$B$14,2,FALSE),"")</x:f>
      </x:c>
      <x:c r="C46" s="17"/>
      <x:c r="D46" s="17"/>
      <x:c r="E46" s="17"/>
      <x:c r="F46" s="17"/>
      <x:c r="G46" s="17"/>
      <x:c r="H46" s="17"/>
      <x:c r="I46" s="21"/>
      <x:c r="J46" s="21"/>
      <x:c r="K46" s="17"/>
      <x:c r="L46" s="17"/>
      <x:c r="M46" s="17"/>
      <x:c r="N46" s="17"/>
      <x:c r="O46" s="17"/>
      <x:c r="P46" s="17"/>
      <x:c r="Q46" s="17"/>
      <x:c r="R46" s="17" t="str">
        <x:f t="shared" si="1"/>
      </x:c>
      <x:c r="S46" s="17"/>
    </x:row>
    <x:row r="47" ht="15.75" customHeight="1">
      <x:c r="A47" s="17"/>
      <x:c r="B47" s="17" t="str">
        <x:f>IFERROR(VLOOKUP(A47,Lists!$A$2:$B$14,2,FALSE),"")</x:f>
      </x:c>
      <x:c r="C47" s="17"/>
      <x:c r="D47" s="17"/>
      <x:c r="E47" s="17"/>
      <x:c r="F47" s="17"/>
      <x:c r="G47" s="17"/>
      <x:c r="H47" s="17"/>
      <x:c r="I47" s="21"/>
      <x:c r="J47" s="21"/>
      <x:c r="K47" s="17"/>
      <x:c r="L47" s="17"/>
      <x:c r="M47" s="17"/>
      <x:c r="N47" s="17"/>
      <x:c r="O47" s="17"/>
      <x:c r="P47" s="17"/>
      <x:c r="Q47" s="17"/>
      <x:c r="R47" s="17" t="str">
        <x:f t="shared" si="1"/>
      </x:c>
      <x:c r="S47" s="17"/>
    </x:row>
    <x:row r="48" ht="15.75" customHeight="1">
      <x:c r="A48" s="17"/>
      <x:c r="B48" s="17" t="str">
        <x:f>IFERROR(VLOOKUP(A48,Lists!$A$2:$B$14,2,FALSE),"")</x:f>
      </x:c>
      <x:c r="C48" s="17"/>
      <x:c r="D48" s="17"/>
      <x:c r="E48" s="17"/>
      <x:c r="F48" s="17"/>
      <x:c r="G48" s="17"/>
      <x:c r="H48" s="17"/>
      <x:c r="I48" s="21"/>
      <x:c r="J48" s="21"/>
      <x:c r="K48" s="17"/>
      <x:c r="L48" s="17"/>
      <x:c r="M48" s="17"/>
      <x:c r="N48" s="17"/>
      <x:c r="O48" s="17"/>
      <x:c r="P48" s="17"/>
      <x:c r="Q48" s="17"/>
      <x:c r="R48" s="17" t="str">
        <x:f t="shared" si="1"/>
      </x:c>
      <x:c r="S48" s="17"/>
    </x:row>
    <x:row r="49" ht="15.75" customHeight="1">
      <x:c r="A49" s="17"/>
      <x:c r="B49" s="17" t="str">
        <x:f>IFERROR(VLOOKUP(A49,Lists!$A$2:$B$14,2,FALSE),"")</x:f>
      </x:c>
      <x:c r="C49" s="17"/>
      <x:c r="D49" s="17"/>
      <x:c r="E49" s="17"/>
      <x:c r="F49" s="17"/>
      <x:c r="G49" s="17"/>
      <x:c r="H49" s="17"/>
      <x:c r="I49" s="21"/>
      <x:c r="J49" s="21"/>
      <x:c r="K49" s="17"/>
      <x:c r="L49" s="17"/>
      <x:c r="M49" s="17"/>
      <x:c r="N49" s="17"/>
      <x:c r="O49" s="17"/>
      <x:c r="P49" s="17"/>
      <x:c r="Q49" s="17"/>
      <x:c r="R49" s="17" t="str">
        <x:f t="shared" si="1"/>
      </x:c>
      <x:c r="S49" s="17"/>
    </x:row>
    <x:row r="50" ht="15.75" customHeight="1">
      <x:c r="A50" s="17"/>
      <x:c r="B50" s="17" t="str">
        <x:f>IFERROR(VLOOKUP(A50,Lists!$A$2:$B$14,2,FALSE),"")</x:f>
      </x:c>
      <x:c r="C50" s="17"/>
      <x:c r="D50" s="17"/>
      <x:c r="E50" s="17"/>
      <x:c r="F50" s="17"/>
      <x:c r="G50" s="17"/>
      <x:c r="H50" s="17"/>
      <x:c r="I50" s="21"/>
      <x:c r="J50" s="21"/>
      <x:c r="K50" s="17"/>
      <x:c r="L50" s="17"/>
      <x:c r="M50" s="17"/>
      <x:c r="N50" s="17"/>
      <x:c r="O50" s="17"/>
      <x:c r="P50" s="17"/>
      <x:c r="Q50" s="17"/>
      <x:c r="R50" s="17" t="str">
        <x:f t="shared" si="1"/>
      </x:c>
      <x:c r="S50" s="17"/>
    </x:row>
    <x:row r="51" ht="15.75" customHeight="1">
      <x:c r="A51" s="17"/>
      <x:c r="B51" s="17" t="str">
        <x:f>IFERROR(VLOOKUP(A51,Lists!$A$2:$B$14,2,FALSE),"")</x:f>
      </x:c>
      <x:c r="C51" s="17"/>
      <x:c r="D51" s="17"/>
      <x:c r="E51" s="17"/>
      <x:c r="F51" s="17"/>
      <x:c r="G51" s="17"/>
      <x:c r="H51" s="17"/>
      <x:c r="I51" s="21"/>
      <x:c r="J51" s="21"/>
      <x:c r="K51" s="17"/>
      <x:c r="L51" s="17"/>
      <x:c r="M51" s="17"/>
      <x:c r="N51" s="17"/>
      <x:c r="O51" s="17"/>
      <x:c r="P51" s="17"/>
      <x:c r="Q51" s="17"/>
      <x:c r="R51" s="17" t="str">
        <x:f t="shared" si="1"/>
      </x:c>
      <x:c r="S51" s="17"/>
    </x:row>
    <x:row r="52" ht="15.75" customHeight="1">
      <x:c r="A52" s="17"/>
      <x:c r="B52" s="17" t="str">
        <x:f>IFERROR(VLOOKUP(A52,Lists!$A$2:$B$14,2,FALSE),"")</x:f>
      </x:c>
      <x:c r="C52" s="17"/>
      <x:c r="D52" s="17"/>
      <x:c r="E52" s="17"/>
      <x:c r="F52" s="17"/>
      <x:c r="G52" s="17"/>
      <x:c r="H52" s="17"/>
      <x:c r="I52" s="21"/>
      <x:c r="J52" s="21"/>
      <x:c r="K52" s="17"/>
      <x:c r="L52" s="17"/>
      <x:c r="M52" s="17"/>
      <x:c r="N52" s="17"/>
      <x:c r="O52" s="17"/>
      <x:c r="P52" s="17"/>
      <x:c r="Q52" s="17"/>
      <x:c r="R52" s="17" t="str">
        <x:f t="shared" si="1"/>
      </x:c>
      <x:c r="S52" s="17"/>
    </x:row>
    <x:row r="53" ht="15.75" customHeight="1">
      <x:c r="A53" s="17"/>
      <x:c r="B53" s="17" t="str">
        <x:f>IFERROR(VLOOKUP(A53,Lists!$A$2:$B$14,2,FALSE),"")</x:f>
      </x:c>
      <x:c r="C53" s="17"/>
      <x:c r="D53" s="17"/>
      <x:c r="E53" s="17"/>
      <x:c r="F53" s="17"/>
      <x:c r="G53" s="17"/>
      <x:c r="H53" s="17"/>
      <x:c r="I53" s="21"/>
      <x:c r="J53" s="21"/>
      <x:c r="K53" s="17"/>
      <x:c r="L53" s="17"/>
      <x:c r="M53" s="17"/>
      <x:c r="N53" s="17"/>
      <x:c r="O53" s="17"/>
      <x:c r="P53" s="17"/>
      <x:c r="Q53" s="17"/>
      <x:c r="R53" s="17" t="str">
        <x:f t="shared" si="1"/>
      </x:c>
      <x:c r="S53" s="17"/>
    </x:row>
    <x:row r="54" ht="15.75" customHeight="1">
      <x:c r="A54" s="17"/>
      <x:c r="B54" s="17" t="str">
        <x:f>IFERROR(VLOOKUP(A54,Lists!$A$2:$B$14,2,FALSE),"")</x:f>
      </x:c>
      <x:c r="C54" s="17"/>
      <x:c r="D54" s="17"/>
      <x:c r="E54" s="17"/>
      <x:c r="F54" s="17"/>
      <x:c r="G54" s="17"/>
      <x:c r="H54" s="17"/>
      <x:c r="I54" s="21"/>
      <x:c r="J54" s="21"/>
      <x:c r="K54" s="17"/>
      <x:c r="L54" s="17"/>
      <x:c r="M54" s="17"/>
      <x:c r="N54" s="17"/>
      <x:c r="O54" s="17"/>
      <x:c r="P54" s="17"/>
      <x:c r="Q54" s="17"/>
      <x:c r="R54" s="17" t="str">
        <x:f t="shared" si="1"/>
      </x:c>
      <x:c r="S54" s="17"/>
    </x:row>
    <x:row r="55" ht="15.75" customHeight="1">
      <x:c r="A55" s="17"/>
      <x:c r="B55" s="17" t="str">
        <x:f>IFERROR(VLOOKUP(A55,Lists!$A$2:$B$14,2,FALSE),"")</x:f>
      </x:c>
      <x:c r="C55" s="17"/>
      <x:c r="D55" s="17"/>
      <x:c r="E55" s="17"/>
      <x:c r="F55" s="17"/>
      <x:c r="G55" s="17"/>
      <x:c r="H55" s="17"/>
      <x:c r="I55" s="21"/>
      <x:c r="J55" s="21"/>
      <x:c r="K55" s="17"/>
      <x:c r="L55" s="17"/>
      <x:c r="M55" s="17"/>
      <x:c r="N55" s="17"/>
      <x:c r="O55" s="17"/>
      <x:c r="P55" s="17"/>
      <x:c r="Q55" s="17"/>
      <x:c r="R55" s="17" t="str">
        <x:f t="shared" si="1"/>
      </x:c>
      <x:c r="S55" s="17"/>
    </x:row>
    <x:row r="56" ht="15.75" customHeight="1">
      <x:c r="A56" s="17"/>
      <x:c r="B56" s="17" t="str">
        <x:f>IFERROR(VLOOKUP(A56,Lists!$A$2:$B$14,2,FALSE),"")</x:f>
      </x:c>
      <x:c r="C56" s="17"/>
      <x:c r="D56" s="17"/>
      <x:c r="E56" s="17"/>
      <x:c r="F56" s="17"/>
      <x:c r="G56" s="17"/>
      <x:c r="H56" s="17"/>
      <x:c r="I56" s="21"/>
      <x:c r="J56" s="21"/>
      <x:c r="K56" s="17"/>
      <x:c r="L56" s="17"/>
      <x:c r="M56" s="17"/>
      <x:c r="N56" s="17"/>
      <x:c r="O56" s="17"/>
      <x:c r="P56" s="17"/>
      <x:c r="Q56" s="17"/>
      <x:c r="R56" s="17" t="str">
        <x:f t="shared" si="1"/>
      </x:c>
      <x:c r="S56" s="17"/>
    </x:row>
    <x:row r="57" ht="15.75" customHeight="1">
      <x:c r="A57" s="17"/>
      <x:c r="B57" s="17" t="str">
        <x:f>IFERROR(VLOOKUP(A57,Lists!$A$2:$B$14,2,FALSE),"")</x:f>
      </x:c>
      <x:c r="C57" s="17"/>
      <x:c r="D57" s="17"/>
      <x:c r="E57" s="17"/>
      <x:c r="F57" s="17"/>
      <x:c r="G57" s="17"/>
      <x:c r="H57" s="17"/>
      <x:c r="I57" s="21"/>
      <x:c r="J57" s="21"/>
      <x:c r="K57" s="17"/>
      <x:c r="L57" s="17"/>
      <x:c r="M57" s="17"/>
      <x:c r="N57" s="17"/>
      <x:c r="O57" s="17"/>
      <x:c r="P57" s="17"/>
      <x:c r="Q57" s="17"/>
      <x:c r="R57" s="17" t="str">
        <x:f t="shared" si="1"/>
      </x:c>
      <x:c r="S57" s="17"/>
    </x:row>
    <x:row r="58" ht="15.75" customHeight="1">
      <x:c r="A58" s="17"/>
      <x:c r="B58" s="17" t="str">
        <x:f>IFERROR(VLOOKUP(A58,Lists!$A$2:$B$14,2,FALSE),"")</x:f>
      </x:c>
      <x:c r="C58" s="17"/>
      <x:c r="D58" s="17"/>
      <x:c r="E58" s="17"/>
      <x:c r="F58" s="17"/>
      <x:c r="G58" s="17"/>
      <x:c r="H58" s="17"/>
      <x:c r="I58" s="21"/>
      <x:c r="J58" s="21"/>
      <x:c r="K58" s="17"/>
      <x:c r="L58" s="17"/>
      <x:c r="M58" s="17"/>
      <x:c r="N58" s="17"/>
      <x:c r="O58" s="17"/>
      <x:c r="P58" s="17"/>
      <x:c r="Q58" s="17"/>
      <x:c r="R58" s="17" t="str">
        <x:f t="shared" si="1"/>
      </x:c>
      <x:c r="S58" s="17"/>
    </x:row>
    <x:row r="59" ht="15.75" customHeight="1">
      <x:c r="A59" s="17"/>
      <x:c r="B59" s="17" t="str">
        <x:f>IFERROR(VLOOKUP(A59,Lists!$A$2:$B$14,2,FALSE),"")</x:f>
      </x:c>
      <x:c r="C59" s="17"/>
      <x:c r="D59" s="17"/>
      <x:c r="E59" s="17"/>
      <x:c r="F59" s="17"/>
      <x:c r="G59" s="17"/>
      <x:c r="H59" s="17"/>
      <x:c r="I59" s="21"/>
      <x:c r="J59" s="21"/>
      <x:c r="K59" s="17"/>
      <x:c r="L59" s="17"/>
      <x:c r="M59" s="17"/>
      <x:c r="N59" s="17"/>
      <x:c r="O59" s="17"/>
      <x:c r="P59" s="17"/>
      <x:c r="Q59" s="17"/>
      <x:c r="R59" s="17" t="str">
        <x:f t="shared" si="1"/>
      </x:c>
      <x:c r="S59" s="17"/>
    </x:row>
    <x:row r="60" ht="15.75" customHeight="1">
      <x:c r="A60" s="17"/>
      <x:c r="B60" s="17" t="str">
        <x:f>IFERROR(VLOOKUP(A60,Lists!$A$2:$B$14,2,FALSE),"")</x:f>
      </x:c>
      <x:c r="C60" s="17"/>
      <x:c r="D60" s="17"/>
      <x:c r="E60" s="17"/>
      <x:c r="F60" s="17"/>
      <x:c r="G60" s="17"/>
      <x:c r="H60" s="17"/>
      <x:c r="I60" s="21"/>
      <x:c r="J60" s="21"/>
      <x:c r="K60" s="17"/>
      <x:c r="L60" s="17"/>
      <x:c r="M60" s="17"/>
      <x:c r="N60" s="17"/>
      <x:c r="O60" s="17"/>
      <x:c r="P60" s="17"/>
      <x:c r="Q60" s="17"/>
      <x:c r="R60" s="17" t="str">
        <x:f t="shared" si="1"/>
      </x:c>
      <x:c r="S60" s="17"/>
    </x:row>
    <x:row r="61" ht="15.75" customHeight="1">
      <x:c r="A61" s="17"/>
      <x:c r="B61" s="17" t="str">
        <x:f>IFERROR(VLOOKUP(A61,Lists!$A$2:$B$14,2,FALSE),"")</x:f>
      </x:c>
      <x:c r="C61" s="17"/>
      <x:c r="D61" s="17"/>
      <x:c r="E61" s="17"/>
      <x:c r="F61" s="17"/>
      <x:c r="G61" s="17"/>
      <x:c r="H61" s="17"/>
      <x:c r="I61" s="21"/>
      <x:c r="J61" s="21"/>
      <x:c r="K61" s="17"/>
      <x:c r="L61" s="17"/>
      <x:c r="M61" s="17"/>
      <x:c r="N61" s="17"/>
      <x:c r="O61" s="17"/>
      <x:c r="P61" s="17"/>
      <x:c r="Q61" s="17"/>
      <x:c r="R61" s="17" t="str">
        <x:f t="shared" si="1"/>
      </x:c>
      <x:c r="S61" s="17"/>
    </x:row>
    <x:row r="62" ht="15.75" customHeight="1">
      <x:c r="A62" s="17"/>
      <x:c r="B62" s="17" t="str">
        <x:f>IFERROR(VLOOKUP(A62,Lists!$A$2:$B$14,2,FALSE),"")</x:f>
      </x:c>
      <x:c r="C62" s="17"/>
      <x:c r="D62" s="17"/>
      <x:c r="E62" s="17"/>
      <x:c r="F62" s="17"/>
      <x:c r="G62" s="17"/>
      <x:c r="H62" s="17"/>
      <x:c r="I62" s="21"/>
      <x:c r="J62" s="21"/>
      <x:c r="K62" s="17"/>
      <x:c r="L62" s="17"/>
      <x:c r="M62" s="17"/>
      <x:c r="N62" s="17"/>
      <x:c r="O62" s="17"/>
      <x:c r="P62" s="17"/>
      <x:c r="Q62" s="17"/>
      <x:c r="R62" s="17" t="str">
        <x:f t="shared" si="1"/>
      </x:c>
      <x:c r="S62" s="17"/>
    </x:row>
    <x:row r="63" ht="15.75" customHeight="1">
      <x:c r="A63" s="17"/>
      <x:c r="B63" s="17" t="str">
        <x:f>IFERROR(VLOOKUP(A63,Lists!$A$2:$B$14,2,FALSE),"")</x:f>
      </x:c>
      <x:c r="C63" s="17"/>
      <x:c r="D63" s="17"/>
      <x:c r="E63" s="17"/>
      <x:c r="F63" s="17"/>
      <x:c r="G63" s="17"/>
      <x:c r="H63" s="17"/>
      <x:c r="I63" s="21"/>
      <x:c r="J63" s="21"/>
      <x:c r="K63" s="17"/>
      <x:c r="L63" s="17"/>
      <x:c r="M63" s="17"/>
      <x:c r="N63" s="17"/>
      <x:c r="O63" s="17"/>
      <x:c r="P63" s="17"/>
      <x:c r="Q63" s="17"/>
      <x:c r="R63" s="17" t="str">
        <x:f t="shared" si="1"/>
      </x:c>
      <x:c r="S63" s="17"/>
    </x:row>
    <x:row r="64" ht="15.75" customHeight="1">
      <x:c r="A64" s="17"/>
      <x:c r="B64" s="17" t="str">
        <x:f>IFERROR(VLOOKUP(A64,Lists!$A$2:$B$14,2,FALSE),"")</x:f>
      </x:c>
      <x:c r="C64" s="17"/>
      <x:c r="D64" s="17"/>
      <x:c r="E64" s="17"/>
      <x:c r="F64" s="17"/>
      <x:c r="G64" s="17"/>
      <x:c r="H64" s="17"/>
      <x:c r="I64" s="21"/>
      <x:c r="J64" s="21"/>
      <x:c r="K64" s="17"/>
      <x:c r="L64" s="17"/>
      <x:c r="M64" s="17"/>
      <x:c r="N64" s="17"/>
      <x:c r="O64" s="17"/>
      <x:c r="P64" s="17"/>
      <x:c r="Q64" s="17"/>
      <x:c r="R64" s="17" t="str">
        <x:f t="shared" si="1"/>
      </x:c>
      <x:c r="S64" s="17"/>
    </x:row>
    <x:row r="65" ht="15.75" customHeight="1">
      <x:c r="A65" s="17"/>
      <x:c r="B65" s="17" t="str">
        <x:f>IFERROR(VLOOKUP(A65,Lists!$A$2:$B$14,2,FALSE),"")</x:f>
      </x:c>
      <x:c r="C65" s="17"/>
      <x:c r="D65" s="17"/>
      <x:c r="E65" s="17"/>
      <x:c r="F65" s="17"/>
      <x:c r="G65" s="17"/>
      <x:c r="H65" s="17"/>
      <x:c r="I65" s="21"/>
      <x:c r="J65" s="21"/>
      <x:c r="K65" s="17"/>
      <x:c r="L65" s="17"/>
      <x:c r="M65" s="17"/>
      <x:c r="N65" s="17"/>
      <x:c r="O65" s="17"/>
      <x:c r="P65" s="17"/>
      <x:c r="Q65" s="17"/>
      <x:c r="R65" s="17" t="str">
        <x:f t="shared" si="1"/>
      </x:c>
      <x:c r="S65" s="17"/>
    </x:row>
    <x:row r="66" ht="15.75" customHeight="1">
      <x:c r="A66" s="17"/>
      <x:c r="B66" s="17" t="str">
        <x:f>IFERROR(VLOOKUP(A66,Lists!$A$2:$B$14,2,FALSE),"")</x:f>
      </x:c>
      <x:c r="C66" s="17"/>
      <x:c r="D66" s="17"/>
      <x:c r="E66" s="17"/>
      <x:c r="F66" s="17"/>
      <x:c r="G66" s="17"/>
      <x:c r="H66" s="17"/>
      <x:c r="I66" s="21"/>
      <x:c r="J66" s="21"/>
      <x:c r="K66" s="17"/>
      <x:c r="L66" s="17"/>
      <x:c r="M66" s="17"/>
      <x:c r="N66" s="17"/>
      <x:c r="O66" s="17"/>
      <x:c r="P66" s="17"/>
      <x:c r="Q66" s="17"/>
      <x:c r="R66" s="17" t="str">
        <x:f t="shared" si="1"/>
      </x:c>
      <x:c r="S66" s="17"/>
    </x:row>
    <x:row r="67" ht="15.75" customHeight="1">
      <x:c r="A67" s="17"/>
      <x:c r="B67" s="17" t="str">
        <x:f>IFERROR(VLOOKUP(A67,Lists!$A$2:$B$14,2,FALSE),"")</x:f>
      </x:c>
      <x:c r="C67" s="17"/>
      <x:c r="D67" s="17"/>
      <x:c r="E67" s="17"/>
      <x:c r="F67" s="17"/>
      <x:c r="G67" s="17"/>
      <x:c r="H67" s="17"/>
      <x:c r="I67" s="21"/>
      <x:c r="J67" s="21"/>
      <x:c r="K67" s="17"/>
      <x:c r="L67" s="17"/>
      <x:c r="M67" s="17"/>
      <x:c r="N67" s="17"/>
      <x:c r="O67" s="17"/>
      <x:c r="P67" s="17"/>
      <x:c r="Q67" s="17"/>
      <x:c r="R67" s="17" t="str">
        <x:f t="shared" si="1"/>
      </x:c>
      <x:c r="S67" s="17"/>
    </x:row>
    <x:row r="68" ht="15.75" customHeight="1">
      <x:c r="A68" s="17"/>
      <x:c r="B68" s="17" t="str">
        <x:f>IFERROR(VLOOKUP(A68,Lists!$A$2:$B$14,2,FALSE),"")</x:f>
      </x:c>
      <x:c r="C68" s="17"/>
      <x:c r="D68" s="17"/>
      <x:c r="E68" s="17"/>
      <x:c r="F68" s="17"/>
      <x:c r="G68" s="17"/>
      <x:c r="H68" s="17"/>
      <x:c r="I68" s="21"/>
      <x:c r="J68" s="21"/>
      <x:c r="K68" s="17"/>
      <x:c r="L68" s="17"/>
      <x:c r="M68" s="17"/>
      <x:c r="N68" s="17"/>
      <x:c r="O68" s="17"/>
      <x:c r="P68" s="17"/>
      <x:c r="Q68" s="17"/>
      <x:c r="R68" s="17" t="str">
        <x:f t="shared" si="1"/>
      </x:c>
      <x:c r="S68" s="17"/>
    </x:row>
    <x:row r="69" ht="15.75" customHeight="1">
      <x:c r="A69" s="17"/>
      <x:c r="B69" s="17" t="str">
        <x:f>IFERROR(VLOOKUP(A69,Lists!$A$2:$B$14,2,FALSE),"")</x:f>
      </x:c>
      <x:c r="C69" s="17"/>
      <x:c r="D69" s="17"/>
      <x:c r="E69" s="17"/>
      <x:c r="F69" s="17"/>
      <x:c r="G69" s="17"/>
      <x:c r="H69" s="17"/>
      <x:c r="I69" s="21"/>
      <x:c r="J69" s="21"/>
      <x:c r="K69" s="17"/>
      <x:c r="L69" s="17"/>
      <x:c r="M69" s="17"/>
      <x:c r="N69" s="17"/>
      <x:c r="O69" s="17"/>
      <x:c r="P69" s="17"/>
      <x:c r="Q69" s="17"/>
      <x:c r="R69" s="17" t="str">
        <x:f t="shared" si="1"/>
      </x:c>
      <x:c r="S69" s="17"/>
    </x:row>
    <x:row r="70" ht="15.75" customHeight="1">
      <x:c r="A70" s="17"/>
      <x:c r="B70" s="17" t="str">
        <x:f>IFERROR(VLOOKUP(A70,Lists!$A$2:$B$14,2,FALSE),"")</x:f>
      </x:c>
      <x:c r="C70" s="17"/>
      <x:c r="D70" s="17"/>
      <x:c r="E70" s="17"/>
      <x:c r="F70" s="17"/>
      <x:c r="G70" s="17"/>
      <x:c r="H70" s="17"/>
      <x:c r="I70" s="21"/>
      <x:c r="J70" s="21"/>
      <x:c r="K70" s="17"/>
      <x:c r="L70" s="17"/>
      <x:c r="M70" s="17"/>
      <x:c r="N70" s="17"/>
      <x:c r="O70" s="17"/>
      <x:c r="P70" s="17"/>
      <x:c r="Q70" s="17"/>
      <x:c r="R70" s="17" t="str">
        <x:f t="shared" si="1"/>
      </x:c>
      <x:c r="S70" s="17"/>
    </x:row>
    <x:row r="71" ht="15.75" customHeight="1">
      <x:c r="A71" s="17"/>
      <x:c r="B71" s="17" t="str">
        <x:f>IFERROR(VLOOKUP(A71,Lists!$A$2:$B$14,2,FALSE),"")</x:f>
      </x:c>
      <x:c r="C71" s="17"/>
      <x:c r="D71" s="17"/>
      <x:c r="E71" s="17"/>
      <x:c r="F71" s="17"/>
      <x:c r="G71" s="17"/>
      <x:c r="H71" s="17"/>
      <x:c r="I71" s="21"/>
      <x:c r="J71" s="21"/>
      <x:c r="K71" s="17"/>
      <x:c r="L71" s="17"/>
      <x:c r="M71" s="17"/>
      <x:c r="N71" s="17"/>
      <x:c r="O71" s="17"/>
      <x:c r="P71" s="17"/>
      <x:c r="Q71" s="17"/>
      <x:c r="R71" s="17" t="str">
        <x:f t="shared" si="1"/>
      </x:c>
      <x:c r="S71" s="17"/>
    </x:row>
    <x:row r="72" ht="15.75" customHeight="1">
      <x:c r="A72" s="17"/>
      <x:c r="B72" s="17" t="str">
        <x:f>IFERROR(VLOOKUP(A72,Lists!$A$2:$B$14,2,FALSE),"")</x:f>
      </x:c>
      <x:c r="C72" s="17"/>
      <x:c r="D72" s="17"/>
      <x:c r="E72" s="17"/>
      <x:c r="F72" s="17"/>
      <x:c r="G72" s="17"/>
      <x:c r="H72" s="17"/>
      <x:c r="I72" s="21"/>
      <x:c r="J72" s="21"/>
      <x:c r="K72" s="17"/>
      <x:c r="L72" s="17"/>
      <x:c r="M72" s="17"/>
      <x:c r="N72" s="17"/>
      <x:c r="O72" s="17"/>
      <x:c r="P72" s="17"/>
      <x:c r="Q72" s="17"/>
      <x:c r="R72" s="17" t="str">
        <x:f t="shared" si="1"/>
      </x:c>
      <x:c r="S72" s="17"/>
    </x:row>
    <x:row r="73" ht="15.75" customHeight="1">
      <x:c r="A73" s="17"/>
      <x:c r="B73" s="17" t="str">
        <x:f>IFERROR(VLOOKUP(A73,Lists!$A$2:$B$14,2,FALSE),"")</x:f>
      </x:c>
      <x:c r="C73" s="17"/>
      <x:c r="D73" s="17"/>
      <x:c r="E73" s="17"/>
      <x:c r="F73" s="17"/>
      <x:c r="G73" s="17"/>
      <x:c r="H73" s="17"/>
      <x:c r="I73" s="21"/>
      <x:c r="J73" s="21"/>
      <x:c r="K73" s="17"/>
      <x:c r="L73" s="17"/>
      <x:c r="M73" s="17"/>
      <x:c r="N73" s="17"/>
      <x:c r="O73" s="17"/>
      <x:c r="P73" s="17"/>
      <x:c r="Q73" s="17"/>
      <x:c r="R73" s="17" t="str">
        <x:f t="shared" si="1"/>
      </x:c>
      <x:c r="S73" s="17"/>
    </x:row>
    <x:row r="74" ht="15.75" customHeight="1">
      <x:c r="A74" s="17"/>
      <x:c r="B74" s="17" t="str">
        <x:f>IFERROR(VLOOKUP(A74,Lists!$A$2:$B$14,2,FALSE),"")</x:f>
      </x:c>
      <x:c r="C74" s="17"/>
      <x:c r="D74" s="17"/>
      <x:c r="E74" s="17"/>
      <x:c r="F74" s="17"/>
      <x:c r="G74" s="17"/>
      <x:c r="H74" s="17"/>
      <x:c r="I74" s="21"/>
      <x:c r="J74" s="21"/>
      <x:c r="K74" s="17"/>
      <x:c r="L74" s="17"/>
      <x:c r="M74" s="17"/>
      <x:c r="N74" s="17"/>
      <x:c r="O74" s="17"/>
      <x:c r="P74" s="17"/>
      <x:c r="Q74" s="17"/>
      <x:c r="R74" s="17" t="str">
        <x:f t="shared" si="1"/>
      </x:c>
      <x:c r="S74" s="17"/>
    </x:row>
    <x:row r="75" ht="15.75" customHeight="1">
      <x:c r="A75" s="17"/>
      <x:c r="B75" s="17" t="str">
        <x:f>IFERROR(VLOOKUP(A75,Lists!$A$2:$B$14,2,FALSE),"")</x:f>
      </x:c>
      <x:c r="C75" s="17"/>
      <x:c r="D75" s="17"/>
      <x:c r="E75" s="17"/>
      <x:c r="F75" s="17"/>
      <x:c r="G75" s="17"/>
      <x:c r="H75" s="17"/>
      <x:c r="I75" s="21"/>
      <x:c r="J75" s="21"/>
      <x:c r="K75" s="17"/>
      <x:c r="L75" s="17"/>
      <x:c r="M75" s="17"/>
      <x:c r="N75" s="17"/>
      <x:c r="O75" s="17"/>
      <x:c r="P75" s="17"/>
      <x:c r="Q75" s="17"/>
      <x:c r="R75" s="17" t="str">
        <x:f t="shared" si="1"/>
      </x:c>
      <x:c r="S75" s="17"/>
    </x:row>
    <x:row r="76" ht="15.75" customHeight="1">
      <x:c r="A76" s="17"/>
      <x:c r="B76" s="17" t="str">
        <x:f>IFERROR(VLOOKUP(A76,Lists!$A$2:$B$14,2,FALSE),"")</x:f>
      </x:c>
      <x:c r="C76" s="17"/>
      <x:c r="D76" s="17"/>
      <x:c r="E76" s="17"/>
      <x:c r="F76" s="17"/>
      <x:c r="G76" s="17"/>
      <x:c r="H76" s="17"/>
      <x:c r="I76" s="21"/>
      <x:c r="J76" s="21"/>
      <x:c r="K76" s="17"/>
      <x:c r="L76" s="17"/>
      <x:c r="M76" s="17"/>
      <x:c r="N76" s="17"/>
      <x:c r="O76" s="17"/>
      <x:c r="P76" s="17"/>
      <x:c r="Q76" s="17"/>
      <x:c r="R76" s="17" t="str">
        <x:f t="shared" si="1"/>
      </x:c>
      <x:c r="S76" s="17"/>
    </x:row>
    <x:row r="77" ht="15.75" customHeight="1">
      <x:c r="A77" s="17"/>
      <x:c r="B77" s="17" t="str">
        <x:f>IFERROR(VLOOKUP(A77,Lists!$A$2:$B$14,2,FALSE),"")</x:f>
      </x:c>
      <x:c r="C77" s="17"/>
      <x:c r="D77" s="17"/>
      <x:c r="E77" s="17"/>
      <x:c r="F77" s="17"/>
      <x:c r="G77" s="17"/>
      <x:c r="H77" s="17"/>
      <x:c r="I77" s="21"/>
      <x:c r="J77" s="21"/>
      <x:c r="K77" s="17"/>
      <x:c r="L77" s="17"/>
      <x:c r="M77" s="17"/>
      <x:c r="N77" s="17"/>
      <x:c r="O77" s="17"/>
      <x:c r="P77" s="17"/>
      <x:c r="Q77" s="17"/>
      <x:c r="R77" s="17" t="str">
        <x:f t="shared" si="1"/>
      </x:c>
      <x:c r="S77" s="17"/>
    </x:row>
    <x:row r="78" ht="15.75" customHeight="1">
      <x:c r="A78" s="17"/>
      <x:c r="B78" s="17" t="str">
        <x:f>IFERROR(VLOOKUP(A78,Lists!$A$2:$B$14,2,FALSE),"")</x:f>
      </x:c>
      <x:c r="C78" s="17"/>
      <x:c r="D78" s="17"/>
      <x:c r="E78" s="17"/>
      <x:c r="F78" s="17"/>
      <x:c r="G78" s="17"/>
      <x:c r="H78" s="17"/>
      <x:c r="I78" s="21"/>
      <x:c r="J78" s="21"/>
      <x:c r="K78" s="17"/>
      <x:c r="L78" s="17"/>
      <x:c r="M78" s="17"/>
      <x:c r="N78" s="17"/>
      <x:c r="O78" s="17"/>
      <x:c r="P78" s="17"/>
      <x:c r="Q78" s="17"/>
      <x:c r="R78" s="17" t="str">
        <x:f t="shared" si="1"/>
      </x:c>
      <x:c r="S78" s="17"/>
    </x:row>
    <x:row r="79" ht="15.75" customHeight="1">
      <x:c r="A79" s="17"/>
      <x:c r="B79" s="17" t="str">
        <x:f>IFERROR(VLOOKUP(A79,Lists!$A$2:$B$14,2,FALSE),"")</x:f>
      </x:c>
      <x:c r="C79" s="17"/>
      <x:c r="D79" s="17"/>
      <x:c r="E79" s="17"/>
      <x:c r="F79" s="17"/>
      <x:c r="G79" s="17"/>
      <x:c r="H79" s="17"/>
      <x:c r="I79" s="21"/>
      <x:c r="J79" s="21"/>
      <x:c r="K79" s="17"/>
      <x:c r="L79" s="17"/>
      <x:c r="M79" s="17"/>
      <x:c r="N79" s="17"/>
      <x:c r="O79" s="17"/>
      <x:c r="P79" s="17"/>
      <x:c r="Q79" s="17"/>
      <x:c r="R79" s="17" t="str">
        <x:f t="shared" si="1"/>
      </x:c>
      <x:c r="S79" s="17"/>
    </x:row>
    <x:row r="80" ht="15.75" customHeight="1">
      <x:c r="A80" s="17"/>
      <x:c r="B80" s="17" t="str">
        <x:f>IFERROR(VLOOKUP(A80,Lists!$A$2:$B$14,2,FALSE),"")</x:f>
      </x:c>
      <x:c r="C80" s="17"/>
      <x:c r="D80" s="17"/>
      <x:c r="E80" s="17"/>
      <x:c r="F80" s="17"/>
      <x:c r="G80" s="17"/>
      <x:c r="H80" s="17"/>
      <x:c r="I80" s="21"/>
      <x:c r="J80" s="21"/>
      <x:c r="K80" s="17"/>
      <x:c r="L80" s="17"/>
      <x:c r="M80" s="17"/>
      <x:c r="N80" s="17"/>
      <x:c r="O80" s="17"/>
      <x:c r="P80" s="17"/>
      <x:c r="Q80" s="17"/>
      <x:c r="R80" s="17" t="str">
        <x:f t="shared" si="1"/>
      </x:c>
      <x:c r="S80" s="17"/>
    </x:row>
    <x:row r="81" ht="15.75" customHeight="1">
      <x:c r="A81" s="17"/>
      <x:c r="B81" s="17" t="str">
        <x:f>IFERROR(VLOOKUP(A81,Lists!$A$2:$B$14,2,FALSE),"")</x:f>
      </x:c>
      <x:c r="C81" s="17"/>
      <x:c r="D81" s="17"/>
      <x:c r="E81" s="17"/>
      <x:c r="F81" s="17"/>
      <x:c r="G81" s="17"/>
      <x:c r="H81" s="17"/>
      <x:c r="I81" s="21"/>
      <x:c r="J81" s="21"/>
      <x:c r="K81" s="17"/>
      <x:c r="L81" s="17"/>
      <x:c r="M81" s="17"/>
      <x:c r="N81" s="17"/>
      <x:c r="O81" s="17"/>
      <x:c r="P81" s="17"/>
      <x:c r="Q81" s="17"/>
      <x:c r="R81" s="17" t="str">
        <x:f t="shared" si="1"/>
      </x:c>
      <x:c r="S81" s="17"/>
    </x:row>
    <x:row r="82" ht="15.75" customHeight="1">
      <x:c r="A82" s="17"/>
      <x:c r="B82" s="17" t="str">
        <x:f>IFERROR(VLOOKUP(A82,Lists!$A$2:$B$14,2,FALSE),"")</x:f>
      </x:c>
      <x:c r="C82" s="17"/>
      <x:c r="D82" s="17"/>
      <x:c r="E82" s="17"/>
      <x:c r="F82" s="17"/>
      <x:c r="G82" s="17"/>
      <x:c r="H82" s="17"/>
      <x:c r="I82" s="21"/>
      <x:c r="J82" s="21"/>
      <x:c r="K82" s="17"/>
      <x:c r="L82" s="17"/>
      <x:c r="M82" s="17"/>
      <x:c r="N82" s="17"/>
      <x:c r="O82" s="17"/>
      <x:c r="P82" s="17"/>
      <x:c r="Q82" s="17"/>
      <x:c r="R82" s="17" t="str">
        <x:f t="shared" si="1"/>
      </x:c>
      <x:c r="S82" s="17"/>
    </x:row>
    <x:row r="83" ht="15.75" customHeight="1">
      <x:c r="A83" s="17"/>
      <x:c r="B83" s="17" t="str">
        <x:f>IFERROR(VLOOKUP(A83,Lists!$A$2:$B$14,2,FALSE),"")</x:f>
      </x:c>
      <x:c r="C83" s="17"/>
      <x:c r="D83" s="17"/>
      <x:c r="E83" s="17"/>
      <x:c r="F83" s="17"/>
      <x:c r="G83" s="17"/>
      <x:c r="H83" s="17"/>
      <x:c r="I83" s="21"/>
      <x:c r="J83" s="21"/>
      <x:c r="K83" s="17"/>
      <x:c r="L83" s="17"/>
      <x:c r="M83" s="17"/>
      <x:c r="N83" s="17"/>
      <x:c r="O83" s="17"/>
      <x:c r="P83" s="17"/>
      <x:c r="Q83" s="17"/>
      <x:c r="R83" s="17" t="str">
        <x:f t="shared" si="1"/>
      </x:c>
      <x:c r="S83" s="17"/>
    </x:row>
    <x:row r="84" ht="15.75" customHeight="1">
      <x:c r="A84" s="17"/>
      <x:c r="B84" s="17" t="str">
        <x:f>IFERROR(VLOOKUP(A84,Lists!$A$2:$B$14,2,FALSE),"")</x:f>
      </x:c>
      <x:c r="C84" s="17"/>
      <x:c r="D84" s="17"/>
      <x:c r="E84" s="17"/>
      <x:c r="F84" s="17"/>
      <x:c r="G84" s="17"/>
      <x:c r="H84" s="17"/>
      <x:c r="I84" s="21"/>
      <x:c r="J84" s="21"/>
      <x:c r="K84" s="17"/>
      <x:c r="L84" s="17"/>
      <x:c r="M84" s="17"/>
      <x:c r="N84" s="17"/>
      <x:c r="O84" s="17"/>
      <x:c r="P84" s="17"/>
      <x:c r="Q84" s="17"/>
      <x:c r="R84" s="17" t="str">
        <x:f t="shared" si="1"/>
      </x:c>
      <x:c r="S84" s="17"/>
    </x:row>
    <x:row r="85" ht="15.75" customHeight="1">
      <x:c r="A85" s="17"/>
      <x:c r="B85" s="17" t="str">
        <x:f>IFERROR(VLOOKUP(A85,Lists!$A$2:$B$14,2,FALSE),"")</x:f>
      </x:c>
      <x:c r="C85" s="17"/>
      <x:c r="D85" s="17"/>
      <x:c r="E85" s="17"/>
      <x:c r="F85" s="17"/>
      <x:c r="G85" s="17"/>
      <x:c r="H85" s="17"/>
      <x:c r="I85" s="21"/>
      <x:c r="J85" s="21"/>
      <x:c r="K85" s="17"/>
      <x:c r="L85" s="17"/>
      <x:c r="M85" s="17"/>
      <x:c r="N85" s="17"/>
      <x:c r="O85" s="17"/>
      <x:c r="P85" s="17"/>
      <x:c r="Q85" s="17"/>
      <x:c r="R85" s="17" t="str">
        <x:f t="shared" si="1"/>
      </x:c>
      <x:c r="S85" s="17"/>
    </x:row>
    <x:row r="86" ht="15.75" customHeight="1">
      <x:c r="A86" s="17"/>
      <x:c r="B86" s="17" t="str">
        <x:f>IFERROR(VLOOKUP(A86,Lists!$A$2:$B$14,2,FALSE),"")</x:f>
      </x:c>
      <x:c r="C86" s="17"/>
      <x:c r="D86" s="17"/>
      <x:c r="E86" s="17"/>
      <x:c r="F86" s="17"/>
      <x:c r="G86" s="17"/>
      <x:c r="H86" s="17"/>
      <x:c r="I86" s="21"/>
      <x:c r="J86" s="21"/>
      <x:c r="K86" s="17"/>
      <x:c r="L86" s="17"/>
      <x:c r="M86" s="17"/>
      <x:c r="N86" s="17"/>
      <x:c r="O86" s="17"/>
      <x:c r="P86" s="17"/>
      <x:c r="Q86" s="17"/>
      <x:c r="R86" s="17" t="str">
        <x:f t="shared" si="1"/>
      </x:c>
      <x:c r="S86" s="17"/>
    </x:row>
    <x:row r="87" ht="15.75" customHeight="1">
      <x:c r="A87" s="17"/>
      <x:c r="B87" s="17" t="str">
        <x:f>IFERROR(VLOOKUP(A87,Lists!$A$2:$B$14,2,FALSE),"")</x:f>
      </x:c>
      <x:c r="C87" s="17"/>
      <x:c r="D87" s="17"/>
      <x:c r="E87" s="17"/>
      <x:c r="F87" s="17"/>
      <x:c r="G87" s="17"/>
      <x:c r="H87" s="17"/>
      <x:c r="I87" s="21"/>
      <x:c r="J87" s="21"/>
      <x:c r="K87" s="17"/>
      <x:c r="L87" s="17"/>
      <x:c r="M87" s="17"/>
      <x:c r="N87" s="17"/>
      <x:c r="O87" s="17"/>
      <x:c r="P87" s="17"/>
      <x:c r="Q87" s="17"/>
      <x:c r="R87" s="17" t="str">
        <x:f t="shared" si="1"/>
      </x:c>
      <x:c r="S87" s="17"/>
    </x:row>
    <x:row r="88" ht="15.75" customHeight="1">
      <x:c r="A88" s="17"/>
      <x:c r="B88" s="17" t="str">
        <x:f>IFERROR(VLOOKUP(A88,Lists!$A$2:$B$14,2,FALSE),"")</x:f>
      </x:c>
      <x:c r="C88" s="17"/>
      <x:c r="D88" s="17"/>
      <x:c r="E88" s="17"/>
      <x:c r="F88" s="17"/>
      <x:c r="G88" s="17"/>
      <x:c r="H88" s="17"/>
      <x:c r="I88" s="21"/>
      <x:c r="J88" s="21"/>
      <x:c r="K88" s="17"/>
      <x:c r="L88" s="17"/>
      <x:c r="M88" s="17"/>
      <x:c r="N88" s="17"/>
      <x:c r="O88" s="17"/>
      <x:c r="P88" s="17"/>
      <x:c r="Q88" s="17"/>
      <x:c r="R88" s="17" t="str">
        <x:f t="shared" si="1"/>
      </x:c>
      <x:c r="S88" s="17"/>
    </x:row>
    <x:row r="89" ht="15.75" customHeight="1">
      <x:c r="A89" s="17"/>
      <x:c r="B89" s="17" t="str">
        <x:f>IFERROR(VLOOKUP(A89,Lists!$A$2:$B$14,2,FALSE),"")</x:f>
      </x:c>
      <x:c r="C89" s="17"/>
      <x:c r="D89" s="17"/>
      <x:c r="E89" s="17"/>
      <x:c r="F89" s="17"/>
      <x:c r="G89" s="17"/>
      <x:c r="H89" s="17"/>
      <x:c r="I89" s="21"/>
      <x:c r="J89" s="21"/>
      <x:c r="K89" s="17"/>
      <x:c r="L89" s="17"/>
      <x:c r="M89" s="17"/>
      <x:c r="N89" s="17"/>
      <x:c r="O89" s="17"/>
      <x:c r="P89" s="17"/>
      <x:c r="Q89" s="17"/>
      <x:c r="R89" s="17" t="str">
        <x:f t="shared" si="1"/>
      </x:c>
      <x:c r="S89" s="17"/>
    </x:row>
    <x:row r="90" ht="15.75" customHeight="1">
      <x:c r="A90" s="17"/>
      <x:c r="B90" s="17" t="str">
        <x:f>IFERROR(VLOOKUP(A90,Lists!$A$2:$B$14,2,FALSE),"")</x:f>
      </x:c>
      <x:c r="C90" s="17"/>
      <x:c r="D90" s="17"/>
      <x:c r="E90" s="17"/>
      <x:c r="F90" s="17"/>
      <x:c r="G90" s="17"/>
      <x:c r="H90" s="17"/>
      <x:c r="I90" s="21"/>
      <x:c r="J90" s="21"/>
      <x:c r="K90" s="17"/>
      <x:c r="L90" s="17"/>
      <x:c r="M90" s="17"/>
      <x:c r="N90" s="17"/>
      <x:c r="O90" s="17"/>
      <x:c r="P90" s="17"/>
      <x:c r="Q90" s="17"/>
      <x:c r="R90" s="17" t="str">
        <x:f t="shared" si="1"/>
      </x:c>
      <x:c r="S90" s="17"/>
    </x:row>
    <x:row r="91" ht="15.75" customHeight="1">
      <x:c r="A91" s="17"/>
      <x:c r="B91" s="17" t="str">
        <x:f>IFERROR(VLOOKUP(A91,Lists!$A$2:$B$14,2,FALSE),"")</x:f>
      </x:c>
      <x:c r="C91" s="17"/>
      <x:c r="D91" s="17"/>
      <x:c r="E91" s="17"/>
      <x:c r="F91" s="17"/>
      <x:c r="G91" s="17"/>
      <x:c r="H91" s="17"/>
      <x:c r="I91" s="21"/>
      <x:c r="J91" s="21"/>
      <x:c r="K91" s="17"/>
      <x:c r="L91" s="17"/>
      <x:c r="M91" s="17"/>
      <x:c r="N91" s="17"/>
      <x:c r="O91" s="17"/>
      <x:c r="P91" s="17"/>
      <x:c r="Q91" s="17"/>
      <x:c r="R91" s="17" t="str">
        <x:f t="shared" si="1"/>
      </x:c>
      <x:c r="S91" s="17"/>
    </x:row>
    <x:row r="92" ht="15.75" customHeight="1">
      <x:c r="A92" s="17"/>
      <x:c r="B92" s="17" t="str">
        <x:f>IFERROR(VLOOKUP(A92,Lists!$A$2:$B$14,2,FALSE),"")</x:f>
      </x:c>
      <x:c r="C92" s="17"/>
      <x:c r="D92" s="17"/>
      <x:c r="E92" s="17"/>
      <x:c r="F92" s="17"/>
      <x:c r="G92" s="17"/>
      <x:c r="H92" s="17"/>
      <x:c r="I92" s="21"/>
      <x:c r="J92" s="21"/>
      <x:c r="K92" s="17"/>
      <x:c r="L92" s="17"/>
      <x:c r="M92" s="17"/>
      <x:c r="N92" s="17"/>
      <x:c r="O92" s="17"/>
      <x:c r="P92" s="17"/>
      <x:c r="Q92" s="17"/>
      <x:c r="R92" s="17" t="str">
        <x:f t="shared" si="1"/>
      </x:c>
      <x:c r="S92" s="17"/>
    </x:row>
    <x:row r="93" ht="15.75" customHeight="1">
      <x:c r="A93" s="17"/>
      <x:c r="B93" s="17" t="str">
        <x:f>IFERROR(VLOOKUP(A93,Lists!$A$2:$B$14,2,FALSE),"")</x:f>
      </x:c>
      <x:c r="C93" s="17"/>
      <x:c r="D93" s="17"/>
      <x:c r="E93" s="17"/>
      <x:c r="F93" s="17"/>
      <x:c r="G93" s="17"/>
      <x:c r="H93" s="17"/>
      <x:c r="I93" s="21"/>
      <x:c r="J93" s="21"/>
      <x:c r="K93" s="17"/>
      <x:c r="L93" s="17"/>
      <x:c r="M93" s="17"/>
      <x:c r="N93" s="17"/>
      <x:c r="O93" s="17"/>
      <x:c r="P93" s="17"/>
      <x:c r="Q93" s="17"/>
      <x:c r="R93" s="17" t="str">
        <x:f t="shared" si="1"/>
      </x:c>
      <x:c r="S93" s="17"/>
    </x:row>
    <x:row r="94" ht="15.75" customHeight="1">
      <x:c r="A94" s="17"/>
      <x:c r="B94" s="17" t="str">
        <x:f>IFERROR(VLOOKUP(A94,Lists!$A$2:$B$14,2,FALSE),"")</x:f>
      </x:c>
      <x:c r="C94" s="17"/>
      <x:c r="D94" s="17"/>
      <x:c r="E94" s="17"/>
      <x:c r="F94" s="17"/>
      <x:c r="G94" s="17"/>
      <x:c r="H94" s="17"/>
      <x:c r="I94" s="21"/>
      <x:c r="J94" s="21"/>
      <x:c r="K94" s="17"/>
      <x:c r="L94" s="17"/>
      <x:c r="M94" s="17"/>
      <x:c r="N94" s="17"/>
      <x:c r="O94" s="17"/>
      <x:c r="P94" s="17"/>
      <x:c r="Q94" s="17"/>
      <x:c r="R94" s="17" t="str">
        <x:f t="shared" si="1"/>
      </x:c>
      <x:c r="S94" s="17"/>
    </x:row>
    <x:row r="95" ht="15.75" customHeight="1">
      <x:c r="A95" s="17"/>
      <x:c r="B95" s="17" t="str">
        <x:f>IFERROR(VLOOKUP(A95,Lists!$A$2:$B$14,2,FALSE),"")</x:f>
      </x:c>
      <x:c r="C95" s="17"/>
      <x:c r="D95" s="17"/>
      <x:c r="E95" s="17"/>
      <x:c r="F95" s="17"/>
      <x:c r="G95" s="17"/>
      <x:c r="H95" s="17"/>
      <x:c r="I95" s="21"/>
      <x:c r="J95" s="21"/>
      <x:c r="K95" s="17"/>
      <x:c r="L95" s="17"/>
      <x:c r="M95" s="17"/>
      <x:c r="N95" s="17"/>
      <x:c r="O95" s="17"/>
      <x:c r="P95" s="17"/>
      <x:c r="Q95" s="17"/>
      <x:c r="R95" s="17" t="str">
        <x:f t="shared" si="1"/>
      </x:c>
      <x:c r="S95" s="17"/>
    </x:row>
    <x:row r="96" ht="15.75" customHeight="1">
      <x:c r="A96" s="17"/>
      <x:c r="B96" s="17" t="str">
        <x:f>IFERROR(VLOOKUP(A96,Lists!$A$2:$B$14,2,FALSE),"")</x:f>
      </x:c>
      <x:c r="C96" s="17"/>
      <x:c r="D96" s="17"/>
      <x:c r="E96" s="17"/>
      <x:c r="F96" s="17"/>
      <x:c r="G96" s="17"/>
      <x:c r="H96" s="17"/>
      <x:c r="I96" s="21"/>
      <x:c r="J96" s="21"/>
      <x:c r="K96" s="17"/>
      <x:c r="L96" s="17"/>
      <x:c r="M96" s="17"/>
      <x:c r="N96" s="17"/>
      <x:c r="O96" s="17"/>
      <x:c r="P96" s="17"/>
      <x:c r="Q96" s="17"/>
      <x:c r="R96" s="17" t="str">
        <x:f t="shared" si="1"/>
      </x:c>
      <x:c r="S96" s="17"/>
    </x:row>
    <x:row r="97" ht="15.75" customHeight="1">
      <x:c r="A97" s="17"/>
      <x:c r="B97" s="17" t="str">
        <x:f>IFERROR(VLOOKUP(A97,Lists!$A$2:$B$14,2,FALSE),"")</x:f>
      </x:c>
      <x:c r="C97" s="17"/>
      <x:c r="D97" s="17"/>
      <x:c r="E97" s="17"/>
      <x:c r="F97" s="17"/>
      <x:c r="G97" s="17"/>
      <x:c r="H97" s="17"/>
      <x:c r="I97" s="21"/>
      <x:c r="J97" s="21"/>
      <x:c r="K97" s="17"/>
      <x:c r="L97" s="17"/>
      <x:c r="M97" s="17"/>
      <x:c r="N97" s="17"/>
      <x:c r="O97" s="17"/>
      <x:c r="P97" s="17"/>
      <x:c r="Q97" s="17"/>
      <x:c r="R97" s="17" t="str">
        <x:f t="shared" si="1"/>
      </x:c>
      <x:c r="S97" s="17"/>
    </x:row>
    <x:row r="98" ht="15.75" customHeight="1">
      <x:c r="A98" s="17"/>
      <x:c r="B98" s="17" t="str">
        <x:f>IFERROR(VLOOKUP(A98,Lists!$A$2:$B$14,2,FALSE),"")</x:f>
      </x:c>
      <x:c r="C98" s="17"/>
      <x:c r="D98" s="17"/>
      <x:c r="E98" s="17"/>
      <x:c r="F98" s="17"/>
      <x:c r="G98" s="17"/>
      <x:c r="H98" s="17"/>
      <x:c r="I98" s="21"/>
      <x:c r="J98" s="21"/>
      <x:c r="K98" s="17"/>
      <x:c r="L98" s="17"/>
      <x:c r="M98" s="17"/>
      <x:c r="N98" s="17"/>
      <x:c r="O98" s="17"/>
      <x:c r="P98" s="17"/>
      <x:c r="Q98" s="17"/>
      <x:c r="R98" s="17" t="str">
        <x:f t="shared" si="1"/>
      </x:c>
      <x:c r="S98" s="17"/>
    </x:row>
    <x:row r="99" ht="15.75" customHeight="1">
      <x:c r="A99" s="17"/>
      <x:c r="B99" s="17" t="str">
        <x:f>IFERROR(VLOOKUP(A99,Lists!$A$2:$B$14,2,FALSE),"")</x:f>
      </x:c>
      <x:c r="C99" s="17"/>
      <x:c r="D99" s="17"/>
      <x:c r="E99" s="17"/>
      <x:c r="F99" s="17"/>
      <x:c r="G99" s="17"/>
      <x:c r="H99" s="17"/>
      <x:c r="I99" s="21"/>
      <x:c r="J99" s="21"/>
      <x:c r="K99" s="17"/>
      <x:c r="L99" s="17"/>
      <x:c r="M99" s="17"/>
      <x:c r="N99" s="17"/>
      <x:c r="O99" s="17"/>
      <x:c r="P99" s="17"/>
      <x:c r="Q99" s="17"/>
      <x:c r="R99" s="17" t="str">
        <x:f t="shared" si="1"/>
      </x:c>
      <x:c r="S99" s="17"/>
    </x:row>
    <x:row r="100" ht="15.75" customHeight="1">
      <x:c r="A100" s="17"/>
      <x:c r="B100" s="17" t="str">
        <x:f>IFERROR(VLOOKUP(A100,Lists!$A$2:$B$14,2,FALSE),"")</x:f>
      </x:c>
      <x:c r="C100" s="17"/>
      <x:c r="D100" s="17"/>
      <x:c r="E100" s="17"/>
      <x:c r="F100" s="17"/>
      <x:c r="G100" s="17"/>
      <x:c r="H100" s="17"/>
      <x:c r="I100" s="21"/>
      <x:c r="J100" s="21"/>
      <x:c r="K100" s="17"/>
      <x:c r="L100" s="17"/>
      <x:c r="M100" s="17"/>
      <x:c r="N100" s="17"/>
      <x:c r="O100" s="17"/>
      <x:c r="P100" s="17"/>
      <x:c r="Q100" s="17"/>
      <x:c r="R100" s="17" t="str">
        <x:f t="shared" si="1"/>
      </x:c>
      <x:c r="S100" s="17"/>
    </x:row>
    <x:row r="101" ht="15.75" customHeight="1">
      <x:c r="A101" s="17"/>
      <x:c r="B101" s="17" t="str">
        <x:f>IFERROR(VLOOKUP(A101,Lists!$A$2:$B$14,2,FALSE),"")</x:f>
      </x:c>
      <x:c r="C101" s="17"/>
      <x:c r="D101" s="17"/>
      <x:c r="E101" s="17"/>
      <x:c r="F101" s="17"/>
      <x:c r="G101" s="17"/>
      <x:c r="H101" s="17"/>
      <x:c r="I101" s="21"/>
      <x:c r="J101" s="21"/>
      <x:c r="K101" s="17"/>
      <x:c r="L101" s="17"/>
      <x:c r="M101" s="17"/>
      <x:c r="N101" s="17"/>
      <x:c r="O101" s="17"/>
      <x:c r="P101" s="17"/>
      <x:c r="Q101" s="17"/>
      <x:c r="R101" s="17" t="str">
        <x:f t="shared" si="1"/>
      </x:c>
      <x:c r="S101" s="17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F2:F101">
    <x:cfRule type="expression" dxfId="4" priority="1">
      <x:formula>F2="Published"</x:formula>
    </x:cfRule>
  </x:conditionalFormatting>
  <x:conditionalFormatting sqref="F2:F101">
    <x:cfRule type="expression" dxfId="4" priority="2">
      <x:formula>F2="Completed"</x:formula>
    </x:cfRule>
  </x:conditionalFormatting>
  <x:conditionalFormatting sqref="F2:F101">
    <x:cfRule type="expression" dxfId="5" priority="3">
      <x:formula>F2="Delayed"</x:formula>
    </x:cfRule>
  </x:conditionalFormatting>
  <x:conditionalFormatting sqref="F2:F101">
    <x:cfRule type="expression" dxfId="6" priority="4">
      <x:formula>F2="Blocked"</x:formula>
    </x:cfRule>
  </x:conditionalFormatting>
  <x:dataValidations count="7">
    <x:dataValidation type="list" allowBlank="1" sqref="G2:G101">
      <x:formula1>Lists!$L$2:$L$4</x:formula1>
    </x:dataValidation>
    <x:dataValidation type="list" allowBlank="1" sqref="F2:F101">
      <x:formula1>Lists!$G$2:$G$10</x:formula1>
    </x:dataValidation>
    <x:dataValidation type="list" allowBlank="1" sqref="L2:L101 N2:N101">
      <x:formula1>Lists!$J$2:$J$4</x:formula1>
    </x:dataValidation>
    <x:dataValidation type="list" allowBlank="1" sqref="A2:A101">
      <x:formula1>Lists!$A$2:$A$14</x:formula1>
    </x:dataValidation>
    <x:dataValidation type="list" allowBlank="1" sqref="O2:O101">
      <x:formula1>Lists!$K$2:$K$8</x:formula1>
    </x:dataValidation>
    <x:dataValidation type="list" allowBlank="1" sqref="H2:H101">
      <x:formula1>Lists!$M$2:$M$9</x:formula1>
    </x:dataValidation>
    <x:dataValidation type="list" allowBlank="1" sqref="E2:E101">
      <x:formula1>Lists!$I$2:$I$7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2e54fed27e4f5e"/>
  </x:tableParts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8" hidden="0" customWidth="1"/>
    <x:col min="2" max="3" width="18" customWidth="1"/>
    <x:col min="4" max="4" width="48" hidden="0" customWidth="1"/>
    <x:col min="5" max="5" width="16" hidden="0" customWidth="1"/>
    <x:col min="6" max="6" width="16" hidden="0" customWidth="1"/>
    <x:col min="7" max="7" width="48" hidden="0" customWidth="1"/>
    <x:col min="8" max="26" width="8.630000114440918" customWidth="1"/>
    <x:col min="2" max="2" width="18" hidden="0" customWidth="1"/>
    <x:col min="3" max="3" width="18" hidden="0" customWidth="1"/>
  </x:cols>
  <x:sheetData>
    <x:row r="1" ht="24" customHeight="1">
      <x:c r="A1" s="45" t="str">
        <x:v>Week</x:v>
      </x:c>
      <x:c r="B1" s="45" t="str">
        <x:v>Date Range</x:v>
      </x:c>
      <x:c r="C1" s="45" t="str">
        <x:v>Area</x:v>
      </x:c>
      <x:c r="D1" s="45" t="str">
        <x:v>Checklist Item</x:v>
      </x:c>
      <x:c r="E1" s="45" t="str">
        <x:v>Status</x:v>
      </x:c>
      <x:c r="F1" s="45" t="str">
        <x:v>Owner / PIC</x:v>
      </x:c>
      <x:c r="G1" s="45" t="str">
        <x:v>Notes</x:v>
      </x:c>
    </x:row>
    <x:row r="2">
      <x:c r="A2" s="41" t="str">
        <x:v>W01</x:v>
      </x:c>
      <x:c r="B2" s="41" t="str">
        <x:f>IFERROR(INDEX(Lists!$B$2:$B$14,MATCH(A2,Lists!$A$2:$A$14,0)),"")</x:f>
        <x:v>05 Jul – 11 Jul 2026</x:v>
      </x:c>
      <x:c r="C2" s="41" t="str">
        <x:v>Planning</x:v>
      </x:c>
      <x:c r="D2" s="41" t="str">
        <x:v>Review planned content titles from Content Tracker</x:v>
      </x:c>
      <x:c r="E2" s="41" t="str">
        <x:v>Not Started</x:v>
      </x:c>
      <x:c r="F2" s="41" t="str">
        <x:v>Me</x:v>
      </x:c>
      <x:c r="G2" s="41" t="str">
        <x:v>Planned content: What is SCADA? A Simple Introduction to Industrial Monitoring; How AI Detects Defects in Product Quality Inspection</x:v>
      </x:c>
    </x:row>
    <x:row r="3">
      <x:c r="A3" s="41" t="str">
        <x:v>W01</x:v>
      </x:c>
      <x:c r="B3" s="41" t="str">
        <x:f>IFERROR(INDEX(Lists!$B$2:$B$14,MATCH(A3,Lists!$A$2:$A$14,0)),"")</x:f>
        <x:v>05 Jul – 11 Jul 2026</x:v>
      </x:c>
      <x:c r="C3" s="41" t="str">
        <x:v>Planning</x:v>
      </x:c>
      <x:c r="D3" s="41" t="str">
        <x:v>Confirm 2–3 industrial tutorial/article topics for the week</x:v>
      </x:c>
      <x:c r="E3" s="41" t="str">
        <x:v>Not Started</x:v>
      </x:c>
      <x:c r="F3" s="41" t="str">
        <x:v>Me</x:v>
      </x:c>
      <x:c r="G3" s="41" t="str">
        <x:v>Target: minimum 2, ideal 3 pieces</x:v>
      </x:c>
    </x:row>
    <x:row r="4">
      <x:c r="A4" s="41" t="str">
        <x:v>W01</x:v>
      </x:c>
      <x:c r="B4" s="41" t="str">
        <x:f>IFERROR(INDEX(Lists!$B$2:$B$14,MATCH(A4,Lists!$A$2:$A$14,0)),"")</x:f>
        <x:v>05 Jul – 11 Jul 2026</x:v>
      </x:c>
      <x:c r="C4" s="41" t="str">
        <x:v>Video Integration</x:v>
      </x:c>
      <x:c r="D4" s="41" t="str">
        <x:v>Check Solehin TikTok video list from Google Drive</x:v>
      </x:c>
      <x:c r="E4" s="41" t="str">
        <x:v>Not Started</x:v>
      </x:c>
      <x:c r="F4" s="41" t="str">
        <x:v>Me</x:v>
      </x:c>
      <x:c r="G4" s="41" t="str">
        <x:v>Match suitable videos with planned articles</x:v>
      </x:c>
    </x:row>
    <x:row r="5">
      <x:c r="A5" s="41" t="str">
        <x:v>W01</x:v>
      </x:c>
      <x:c r="B5" s="41" t="str">
        <x:f>IFERROR(INDEX(Lists!$B$2:$B$14,MATCH(A5,Lists!$A$2:$A$14,0)),"")</x:f>
        <x:v>05 Jul – 11 Jul 2026</x:v>
      </x:c>
      <x:c r="C5" s="41" t="str">
        <x:v>Drafting</x:v>
      </x:c>
      <x:c r="D5" s="41" t="str">
        <x:v>Draft 1st article/tutorial</x:v>
      </x:c>
      <x:c r="E5" s="41" t="str">
        <x:v>Not Started</x:v>
      </x:c>
      <x:c r="F5" s="41" t="str">
        <x:v>Me</x:v>
      </x:c>
      <x:c r="G5" s="41" t="str">
        <x:v>Focus on industrial tutorial/article pipeline</x:v>
      </x:c>
    </x:row>
    <x:row r="6">
      <x:c r="A6" s="41" t="str">
        <x:v>W01</x:v>
      </x:c>
      <x:c r="B6" s="41" t="str">
        <x:f>IFERROR(INDEX(Lists!$B$2:$B$14,MATCH(A6,Lists!$A$2:$A$14,0)),"")</x:f>
        <x:v>05 Jul – 11 Jul 2026</x:v>
      </x:c>
      <x:c r="C6" s="41" t="str">
        <x:v>YouTube</x:v>
      </x:c>
      <x:c r="D6" s="41" t="str">
        <x:v>Upload or prepare 1st YouTube video</x:v>
      </x:c>
      <x:c r="E6" s="41" t="str">
        <x:v>Not Started</x:v>
      </x:c>
      <x:c r="F6" s="41" t="str">
        <x:v>Me</x:v>
      </x:c>
      <x:c r="G6" s="41" t="str">
        <x:v>Use related Solehin video if available</x:v>
      </x:c>
    </x:row>
    <x:row r="7">
      <x:c r="A7" s="41" t="str">
        <x:v>W01</x:v>
      </x:c>
      <x:c r="B7" s="41" t="str">
        <x:f>IFERROR(INDEX(Lists!$B$2:$B$14,MATCH(A7,Lists!$A$2:$A$14,0)),"")</x:f>
        <x:v>05 Jul – 11 Jul 2026</x:v>
      </x:c>
      <x:c r="C7" s="41" t="str">
        <x:v>Publishing</x:v>
      </x:c>
      <x:c r="D7" s="41" t="str">
        <x:v>Publish or prepare 1st article/tutorial</x:v>
      </x:c>
      <x:c r="E7" s="41" t="str">
        <x:v>Not Started</x:v>
      </x:c>
      <x:c r="F7" s="41" t="str">
        <x:v>Me</x:v>
      </x:c>
      <x:c r="G7" s="41" t="str">
        <x:v>Update URL in Content Tracker after publish</x:v>
      </x:c>
    </x:row>
    <x:row r="8">
      <x:c r="A8" s="41" t="str">
        <x:v>W01</x:v>
      </x:c>
      <x:c r="B8" s="41" t="str">
        <x:f>IFERROR(INDEX(Lists!$B$2:$B$14,MATCH(A8,Lists!$A$2:$A$14,0)),"")</x:f>
        <x:v>05 Jul – 11 Jul 2026</x:v>
      </x:c>
      <x:c r="C8" s="41" t="str">
        <x:v>Video Integration</x:v>
      </x:c>
      <x:c r="D8" s="41" t="str">
        <x:v>Check/confirm 2nd suitable Solehin video</x:v>
      </x:c>
      <x:c r="E8" s="41" t="str">
        <x:v>Not Started</x:v>
      </x:c>
      <x:c r="F8" s="41" t="str">
        <x:v>Me</x:v>
      </x:c>
      <x:c r="G8" s="41" t="str">
        <x:v>Use if the week has a matching video</x:v>
      </x:c>
    </x:row>
    <x:row r="9">
      <x:c r="A9" s="41" t="str">
        <x:v>W01</x:v>
      </x:c>
      <x:c r="B9" s="41" t="str">
        <x:f>IFERROR(INDEX(Lists!$B$2:$B$14,MATCH(A9,Lists!$A$2:$A$14,0)),"")</x:f>
        <x:v>05 Jul – 11 Jul 2026</x:v>
      </x:c>
      <x:c r="C9" s="41" t="str">
        <x:v>Drafting</x:v>
      </x:c>
      <x:c r="D9" s="41" t="str">
        <x:v>Draft 2nd article/tutorial</x:v>
      </x:c>
      <x:c r="E9" s="41" t="str">
        <x:v>Not Started</x:v>
      </x:c>
      <x:c r="F9" s="41" t="str">
        <x:v>Me</x:v>
      </x:c>
      <x:c r="G9" s="41" t="str">
        <x:v>Focus on industrial tutorial/article pipeline</x:v>
      </x:c>
    </x:row>
    <x:row r="10">
      <x:c r="A10" s="41" t="str">
        <x:v>W01</x:v>
      </x:c>
      <x:c r="B10" s="41" t="str">
        <x:f>IFERROR(INDEX(Lists!$B$2:$B$14,MATCH(A10,Lists!$A$2:$A$14,0)),"")</x:f>
        <x:v>05 Jul – 11 Jul 2026</x:v>
      </x:c>
      <x:c r="C10" s="41" t="str">
        <x:v>YouTube</x:v>
      </x:c>
      <x:c r="D10" s="41" t="str">
        <x:v>Upload or prepare 2nd YouTube video</x:v>
      </x:c>
      <x:c r="E10" s="41" t="str">
        <x:v>Not Started</x:v>
      </x:c>
      <x:c r="F10" s="41" t="str">
        <x:v>Me</x:v>
      </x:c>
      <x:c r="G10" s="41" t="str">
        <x:v>Use related Solehin video if available</x:v>
      </x:c>
    </x:row>
    <x:row r="11">
      <x:c r="A11" s="41" t="str">
        <x:v>W01</x:v>
      </x:c>
      <x:c r="B11" s="41" t="str">
        <x:f>IFERROR(INDEX(Lists!$B$2:$B$14,MATCH(A11,Lists!$A$2:$A$14,0)),"")</x:f>
        <x:v>05 Jul – 11 Jul 2026</x:v>
      </x:c>
      <x:c r="C11" s="41" t="str">
        <x:v>Publishing</x:v>
      </x:c>
      <x:c r="D11" s="41" t="str">
        <x:v>Publish or prepare 2nd article/tutorial</x:v>
      </x:c>
      <x:c r="E11" s="41" t="str">
        <x:v>Not Started</x:v>
      </x:c>
      <x:c r="F11" s="41" t="str">
        <x:v>Me</x:v>
      </x:c>
      <x:c r="G11" s="41" t="str">
        <x:v>Update URL in Content Tracker after publish</x:v>
      </x:c>
    </x:row>
    <x:row r="12">
      <x:c r="A12" s="41" t="str">
        <x:v>W01</x:v>
      </x:c>
      <x:c r="B12" s="41" t="str">
        <x:f>IFERROR(INDEX(Lists!$B$2:$B$14,MATCH(A12,Lists!$A$2:$A$14,0)),"")</x:f>
        <x:v>05 Jul – 11 Jul 2026</x:v>
      </x:c>
      <x:c r="C12" s="41" t="str">
        <x:v>Optional Content</x:v>
      </x:c>
      <x:c r="D12" s="41" t="str">
        <x:v>Draft or publish 3rd article/tutorial if available</x:v>
      </x:c>
      <x:c r="E12" s="41" t="str">
        <x:v>Not Started</x:v>
      </x:c>
      <x:c r="F12" s="41" t="str">
        <x:v>Me</x:v>
      </x:c>
      <x:c r="G12" s="41" t="str">
        <x:v>Use alternating cadence if needed: draft in week 1, publish in week 2</x:v>
      </x:c>
    </x:row>
    <x:row r="13">
      <x:c r="A13" s="41" t="str">
        <x:v>W01</x:v>
      </x:c>
      <x:c r="B13" s="41" t="str">
        <x:f>IFERROR(INDEX(Lists!$B$2:$B$14,MATCH(A13,Lists!$A$2:$A$14,0)),"")</x:f>
        <x:v>05 Jul – 11 Jul 2026</x:v>
      </x:c>
      <x:c r="C13" s="41" t="str">
        <x:v>ActiveCampaign</x:v>
      </x:c>
      <x:c r="D13" s="41" t="str">
        <x:v>Identify targeted article/tutorial for ActiveCampaign with Iffah</x:v>
      </x:c>
      <x:c r="E13" s="41" t="str">
        <x:v>Not Started</x:v>
      </x:c>
      <x:c r="F13" s="41" t="str">
        <x:v>Me</x:v>
      </x:c>
      <x:c r="G13" s="41" t="str">
        <x:v>Prioritize content with clear product CTA</x:v>
      </x:c>
    </x:row>
    <x:row r="14">
      <x:c r="A14" s="41" t="str">
        <x:v>W01</x:v>
      </x:c>
      <x:c r="B14" s="41" t="str">
        <x:f>IFERROR(INDEX(Lists!$B$2:$B$14,MATCH(A14,Lists!$A$2:$A$14,0)),"")</x:f>
        <x:v>05 Jul – 11 Jul 2026</x:v>
      </x:c>
      <x:c r="C14" s="41" t="str">
        <x:v>ActiveCampaign</x:v>
      </x:c>
      <x:c r="D14" s="41" t="str">
        <x:v>Prepare title, short summary, CTA, and product links</x:v>
      </x:c>
      <x:c r="E14" s="41" t="str">
        <x:v>Not Started</x:v>
      </x:c>
      <x:c r="F14" s="41" t="str">
        <x:v>Me</x:v>
      </x:c>
      <x:c r="G14" s="41" t="str">
        <x:v>Add details into ActiveCampaign Queue</x:v>
      </x:c>
    </x:row>
    <x:row r="15">
      <x:c r="A15" s="41" t="str">
        <x:v>W01</x:v>
      </x:c>
      <x:c r="B15" s="41" t="str">
        <x:f>IFERROR(INDEX(Lists!$B$2:$B$14,MATCH(A15,Lists!$A$2:$A$14,0)),"")</x:f>
        <x:v>05 Jul – 11 Jul 2026</x:v>
      </x:c>
      <x:c r="C15" s="41" t="str">
        <x:v>ActiveCampaign</x:v>
      </x:c>
      <x:c r="D15" s="41" t="str">
        <x:v>Confirm ActiveCampaign inclusion status with Iffah</x:v>
      </x:c>
      <x:c r="E15" s="41" t="str">
        <x:v>Not Started</x:v>
      </x:c>
      <x:c r="F15" s="41" t="str">
        <x:v>Iffah</x:v>
      </x:c>
      <x:c r="G15" s="41" t="str">
        <x:v>Update AC Status in Content Tracker</x:v>
      </x:c>
    </x:row>
    <x:row r="16">
      <x:c r="A16" s="41" t="str">
        <x:v>W01</x:v>
      </x:c>
      <x:c r="B16" s="41" t="str">
        <x:f>IFERROR(INDEX(Lists!$B$2:$B$14,MATCH(A16,Lists!$A$2:$A$14,0)),"")</x:f>
        <x:v>05 Jul – 11 Jul 2026</x:v>
      </x:c>
      <x:c r="C16" s="41" t="str">
        <x:v>Tracking</x:v>
      </x:c>
      <x:c r="D16" s="41" t="str">
        <x:v>Update Content Tracker with URL, YouTube link, AC status, and views/clicks</x:v>
      </x:c>
      <x:c r="E16" s="41" t="str">
        <x:v>Not Started</x:v>
      </x:c>
      <x:c r="F16" s="41" t="str">
        <x:v>Me</x:v>
      </x:c>
      <x:c r="G16" s="41" t="str">
        <x:v>Record baseline where available</x:v>
      </x:c>
    </x:row>
    <x:row r="17">
      <x:c r="A17" s="41" t="str">
        <x:v>W01</x:v>
      </x:c>
      <x:c r="B17" s="41" t="str">
        <x:f>IFERROR(INDEX(Lists!$B$2:$B$14,MATCH(A17,Lists!$A$2:$A$14,0)),"")</x:f>
        <x:v>05 Jul – 11 Jul 2026</x:v>
      </x:c>
      <x:c r="C17" s="41" t="str">
        <x:v>Weekly Review</x:v>
      </x:c>
      <x:c r="D17" s="41" t="str">
        <x:v>Review completed content, delayed items, blockers, and next week follow-up</x:v>
      </x:c>
      <x:c r="E17" s="41" t="str">
        <x:v>Not Started</x:v>
      </x:c>
      <x:c r="F17" s="41" t="str">
        <x:v>Me</x:v>
      </x:c>
      <x:c r="G17" s="41" t="str">
        <x:v>Use notes for blockers and carry-forward tasks</x:v>
      </x:c>
    </x:row>
    <x:row r="18">
      <x:c r="A18" s="41" t="str">
        <x:v>W02</x:v>
      </x:c>
      <x:c r="B18" s="41" t="str">
        <x:f>IFERROR(INDEX(Lists!$B$2:$B$14,MATCH(A18,Lists!$A$2:$A$14,0)),"")</x:f>
        <x:v>12 Jul – 18 Jul 2026</x:v>
      </x:c>
      <x:c r="C18" s="41" t="str">
        <x:v>Planning</x:v>
      </x:c>
      <x:c r="D18" s="41" t="str">
        <x:v>Review planned content titles from Content Tracker</x:v>
      </x:c>
      <x:c r="E18" s="41" t="str">
        <x:v>Not Started</x:v>
      </x:c>
      <x:c r="F18" s="41" t="str">
        <x:v>Me</x:v>
      </x:c>
      <x:c r="G18" s="41" t="str">
        <x:v>Planned content: Industry Dashboard with IRIV; Can IRIV Smarthub CM5 Create MES System; IRIV Pi Control with SCADA</x:v>
      </x:c>
    </x:row>
    <x:row r="19">
      <x:c r="A19" s="41" t="str">
        <x:v>W02</x:v>
      </x:c>
      <x:c r="B19" s="41" t="str">
        <x:f>IFERROR(INDEX(Lists!$B$2:$B$14,MATCH(A19,Lists!$A$2:$A$14,0)),"")</x:f>
        <x:v>12 Jul – 18 Jul 2026</x:v>
      </x:c>
      <x:c r="C19" s="41" t="str">
        <x:v>Planning</x:v>
      </x:c>
      <x:c r="D19" s="41" t="str">
        <x:v>Confirm 2–3 industrial tutorial/article topics for the week</x:v>
      </x:c>
      <x:c r="E19" s="41" t="str">
        <x:v>Not Started</x:v>
      </x:c>
      <x:c r="F19" s="41" t="str">
        <x:v>Me</x:v>
      </x:c>
      <x:c r="G19" s="41" t="str">
        <x:v>Target: minimum 2, ideal 3 pieces</x:v>
      </x:c>
    </x:row>
    <x:row r="20">
      <x:c r="A20" s="41" t="str">
        <x:v>W02</x:v>
      </x:c>
      <x:c r="B20" s="41" t="str">
        <x:f>IFERROR(INDEX(Lists!$B$2:$B$14,MATCH(A20,Lists!$A$2:$A$14,0)),"")</x:f>
        <x:v>12 Jul – 18 Jul 2026</x:v>
      </x:c>
      <x:c r="C20" s="41" t="str">
        <x:v>Video Integration</x:v>
      </x:c>
      <x:c r="D20" s="41" t="str">
        <x:v>Check Solehin TikTok video list from Google Drive</x:v>
      </x:c>
      <x:c r="E20" s="41" t="str">
        <x:v>Not Started</x:v>
      </x:c>
      <x:c r="F20" s="41" t="str">
        <x:v>Me</x:v>
      </x:c>
      <x:c r="G20" s="41" t="str">
        <x:v>Match suitable videos with planned articles</x:v>
      </x:c>
    </x:row>
    <x:row r="21" ht="15.75" customHeight="1">
      <x:c r="A21" s="41" t="str">
        <x:v>W02</x:v>
      </x:c>
      <x:c r="B21" s="41" t="str">
        <x:f>IFERROR(INDEX(Lists!$B$2:$B$14,MATCH(A21,Lists!$A$2:$A$14,0)),"")</x:f>
        <x:v>12 Jul – 18 Jul 2026</x:v>
      </x:c>
      <x:c r="C21" s="41" t="str">
        <x:v>Drafting</x:v>
      </x:c>
      <x:c r="D21" s="41" t="str">
        <x:v>Draft 1st article/tutorial</x:v>
      </x:c>
      <x:c r="E21" s="41" t="str">
        <x:v>Not Started</x:v>
      </x:c>
      <x:c r="F21" s="41" t="str">
        <x:v>Me</x:v>
      </x:c>
      <x:c r="G21" s="41" t="str">
        <x:v>Focus on industrial tutorial/article pipeline</x:v>
      </x:c>
    </x:row>
    <x:row r="22" ht="15.75" customHeight="1">
      <x:c r="A22" s="41" t="str">
        <x:v>W02</x:v>
      </x:c>
      <x:c r="B22" s="41" t="str">
        <x:f>IFERROR(INDEX(Lists!$B$2:$B$14,MATCH(A22,Lists!$A$2:$A$14,0)),"")</x:f>
        <x:v>12 Jul – 18 Jul 2026</x:v>
      </x:c>
      <x:c r="C22" s="41" t="str">
        <x:v>YouTube</x:v>
      </x:c>
      <x:c r="D22" s="41" t="str">
        <x:v>Upload or prepare 1st YouTube video</x:v>
      </x:c>
      <x:c r="E22" s="41" t="str">
        <x:v>Not Started</x:v>
      </x:c>
      <x:c r="F22" s="41" t="str">
        <x:v>Me</x:v>
      </x:c>
      <x:c r="G22" s="41" t="str">
        <x:v>Use related Solehin video if available</x:v>
      </x:c>
    </x:row>
    <x:row r="23" ht="15.75" customHeight="1">
      <x:c r="A23" s="41" t="str">
        <x:v>W02</x:v>
      </x:c>
      <x:c r="B23" s="41" t="str">
        <x:f>IFERROR(INDEX(Lists!$B$2:$B$14,MATCH(A23,Lists!$A$2:$A$14,0)),"")</x:f>
        <x:v>12 Jul – 18 Jul 2026</x:v>
      </x:c>
      <x:c r="C23" s="41" t="str">
        <x:v>Publishing</x:v>
      </x:c>
      <x:c r="D23" s="41" t="str">
        <x:v>Publish or prepare 1st article/tutorial</x:v>
      </x:c>
      <x:c r="E23" s="41" t="str">
        <x:v>Not Started</x:v>
      </x:c>
      <x:c r="F23" s="41" t="str">
        <x:v>Me</x:v>
      </x:c>
      <x:c r="G23" s="41" t="str">
        <x:v>Update URL in Content Tracker after publish</x:v>
      </x:c>
    </x:row>
    <x:row r="24" ht="15.75" customHeight="1">
      <x:c r="A24" s="41" t="str">
        <x:v>W02</x:v>
      </x:c>
      <x:c r="B24" s="41" t="str">
        <x:f>IFERROR(INDEX(Lists!$B$2:$B$14,MATCH(A24,Lists!$A$2:$A$14,0)),"")</x:f>
        <x:v>12 Jul – 18 Jul 2026</x:v>
      </x:c>
      <x:c r="C24" s="41" t="str">
        <x:v>Video Integration</x:v>
      </x:c>
      <x:c r="D24" s="41" t="str">
        <x:v>Check/confirm 2nd suitable Solehin video</x:v>
      </x:c>
      <x:c r="E24" s="41" t="str">
        <x:v>Not Started</x:v>
      </x:c>
      <x:c r="F24" s="41" t="str">
        <x:v>Me</x:v>
      </x:c>
      <x:c r="G24" s="41" t="str">
        <x:v>Use if the week has a matching video</x:v>
      </x:c>
    </x:row>
    <x:row r="25" ht="15.75" customHeight="1">
      <x:c r="A25" s="41" t="str">
        <x:v>W02</x:v>
      </x:c>
      <x:c r="B25" s="41" t="str">
        <x:f>IFERROR(INDEX(Lists!$B$2:$B$14,MATCH(A25,Lists!$A$2:$A$14,0)),"")</x:f>
        <x:v>12 Jul – 18 Jul 2026</x:v>
      </x:c>
      <x:c r="C25" s="41" t="str">
        <x:v>Drafting</x:v>
      </x:c>
      <x:c r="D25" s="41" t="str">
        <x:v>Draft 2nd article/tutorial</x:v>
      </x:c>
      <x:c r="E25" s="41" t="str">
        <x:v>Not Started</x:v>
      </x:c>
      <x:c r="F25" s="41" t="str">
        <x:v>Me</x:v>
      </x:c>
      <x:c r="G25" s="41" t="str">
        <x:v>Focus on industrial tutorial/article pipeline</x:v>
      </x:c>
    </x:row>
    <x:row r="26" ht="15.75" customHeight="1">
      <x:c r="A26" s="41" t="str">
        <x:v>W02</x:v>
      </x:c>
      <x:c r="B26" s="41" t="str">
        <x:f>IFERROR(INDEX(Lists!$B$2:$B$14,MATCH(A26,Lists!$A$2:$A$14,0)),"")</x:f>
        <x:v>12 Jul – 18 Jul 2026</x:v>
      </x:c>
      <x:c r="C26" s="41" t="str">
        <x:v>YouTube</x:v>
      </x:c>
      <x:c r="D26" s="41" t="str">
        <x:v>Upload or prepare 2nd YouTube video</x:v>
      </x:c>
      <x:c r="E26" s="41" t="str">
        <x:v>Not Started</x:v>
      </x:c>
      <x:c r="F26" s="41" t="str">
        <x:v>Me</x:v>
      </x:c>
      <x:c r="G26" s="41" t="str">
        <x:v>Use related Solehin video if available</x:v>
      </x:c>
    </x:row>
    <x:row r="27" ht="15.75" customHeight="1">
      <x:c r="A27" s="41" t="str">
        <x:v>W02</x:v>
      </x:c>
      <x:c r="B27" s="41" t="str">
        <x:f>IFERROR(INDEX(Lists!$B$2:$B$14,MATCH(A27,Lists!$A$2:$A$14,0)),"")</x:f>
        <x:v>12 Jul – 18 Jul 2026</x:v>
      </x:c>
      <x:c r="C27" s="41" t="str">
        <x:v>Publishing</x:v>
      </x:c>
      <x:c r="D27" s="41" t="str">
        <x:v>Publish or prepare 2nd article/tutorial</x:v>
      </x:c>
      <x:c r="E27" s="41" t="str">
        <x:v>Not Started</x:v>
      </x:c>
      <x:c r="F27" s="41" t="str">
        <x:v>Me</x:v>
      </x:c>
      <x:c r="G27" s="41" t="str">
        <x:v>Update URL in Content Tracker after publish</x:v>
      </x:c>
    </x:row>
    <x:row r="28" ht="15.75" customHeight="1">
      <x:c r="A28" s="41" t="str">
        <x:v>W02</x:v>
      </x:c>
      <x:c r="B28" s="41" t="str">
        <x:f>IFERROR(INDEX(Lists!$B$2:$B$14,MATCH(A28,Lists!$A$2:$A$14,0)),"")</x:f>
        <x:v>12 Jul – 18 Jul 2026</x:v>
      </x:c>
      <x:c r="C28" s="41" t="str">
        <x:v>Optional Content</x:v>
      </x:c>
      <x:c r="D28" s="41" t="str">
        <x:v>Draft or publish 3rd article/tutorial if available</x:v>
      </x:c>
      <x:c r="E28" s="41" t="str">
        <x:v>Not Started</x:v>
      </x:c>
      <x:c r="F28" s="41" t="str">
        <x:v>Me</x:v>
      </x:c>
      <x:c r="G28" s="41" t="str">
        <x:v>Use alternating cadence if needed: draft in week 1, publish in week 2</x:v>
      </x:c>
    </x:row>
    <x:row r="29" ht="15.75" customHeight="1">
      <x:c r="A29" s="41" t="str">
        <x:v>W02</x:v>
      </x:c>
      <x:c r="B29" s="41" t="str">
        <x:f>IFERROR(INDEX(Lists!$B$2:$B$14,MATCH(A29,Lists!$A$2:$A$14,0)),"")</x:f>
        <x:v>12 Jul – 18 Jul 2026</x:v>
      </x:c>
      <x:c r="C29" s="41" t="str">
        <x:v>ActiveCampaign</x:v>
      </x:c>
      <x:c r="D29" s="41" t="str">
        <x:v>Identify targeted article/tutorial for ActiveCampaign with Iffah</x:v>
      </x:c>
      <x:c r="E29" s="41" t="str">
        <x:v>Not Started</x:v>
      </x:c>
      <x:c r="F29" s="41" t="str">
        <x:v>Me</x:v>
      </x:c>
      <x:c r="G29" s="41" t="str">
        <x:v>Prioritize content with clear product CTA</x:v>
      </x:c>
    </x:row>
    <x:row r="30" ht="15.75" customHeight="1">
      <x:c r="A30" s="41" t="str">
        <x:v>W02</x:v>
      </x:c>
      <x:c r="B30" s="41" t="str">
        <x:f>IFERROR(INDEX(Lists!$B$2:$B$14,MATCH(A30,Lists!$A$2:$A$14,0)),"")</x:f>
        <x:v>12 Jul – 18 Jul 2026</x:v>
      </x:c>
      <x:c r="C30" s="41" t="str">
        <x:v>ActiveCampaign</x:v>
      </x:c>
      <x:c r="D30" s="41" t="str">
        <x:v>Prepare title, short summary, CTA, and product links</x:v>
      </x:c>
      <x:c r="E30" s="41" t="str">
        <x:v>Not Started</x:v>
      </x:c>
      <x:c r="F30" s="41" t="str">
        <x:v>Me</x:v>
      </x:c>
      <x:c r="G30" s="41" t="str">
        <x:v>Add details into ActiveCampaign Queue</x:v>
      </x:c>
    </x:row>
    <x:row r="31" ht="15.75" customHeight="1">
      <x:c r="A31" s="41" t="str">
        <x:v>W02</x:v>
      </x:c>
      <x:c r="B31" s="41" t="str">
        <x:f>IFERROR(INDEX(Lists!$B$2:$B$14,MATCH(A31,Lists!$A$2:$A$14,0)),"")</x:f>
        <x:v>12 Jul – 18 Jul 2026</x:v>
      </x:c>
      <x:c r="C31" s="41" t="str">
        <x:v>ActiveCampaign</x:v>
      </x:c>
      <x:c r="D31" s="41" t="str">
        <x:v>Confirm ActiveCampaign inclusion status with Iffah</x:v>
      </x:c>
      <x:c r="E31" s="41" t="str">
        <x:v>Not Started</x:v>
      </x:c>
      <x:c r="F31" s="41" t="str">
        <x:v>Iffah</x:v>
      </x:c>
      <x:c r="G31" s="41" t="str">
        <x:v>Update AC Status in Content Tracker</x:v>
      </x:c>
    </x:row>
    <x:row r="32" ht="15.75" customHeight="1">
      <x:c r="A32" s="41" t="str">
        <x:v>W02</x:v>
      </x:c>
      <x:c r="B32" s="41" t="str">
        <x:f>IFERROR(INDEX(Lists!$B$2:$B$14,MATCH(A32,Lists!$A$2:$A$14,0)),"")</x:f>
        <x:v>12 Jul – 18 Jul 2026</x:v>
      </x:c>
      <x:c r="C32" s="41" t="str">
        <x:v>Tracking</x:v>
      </x:c>
      <x:c r="D32" s="41" t="str">
        <x:v>Update Content Tracker with URL, YouTube link, AC status, and views/clicks</x:v>
      </x:c>
      <x:c r="E32" s="41" t="str">
        <x:v>Not Started</x:v>
      </x:c>
      <x:c r="F32" s="41" t="str">
        <x:v>Me</x:v>
      </x:c>
      <x:c r="G32" s="41" t="str">
        <x:v>Record baseline where available</x:v>
      </x:c>
    </x:row>
    <x:row r="33" ht="15.75" customHeight="1">
      <x:c r="A33" s="41" t="str">
        <x:v>W02</x:v>
      </x:c>
      <x:c r="B33" s="41" t="str">
        <x:f>IFERROR(INDEX(Lists!$B$2:$B$14,MATCH(A33,Lists!$A$2:$A$14,0)),"")</x:f>
        <x:v>12 Jul – 18 Jul 2026</x:v>
      </x:c>
      <x:c r="C33" s="41" t="str">
        <x:v>Weekly Review</x:v>
      </x:c>
      <x:c r="D33" s="41" t="str">
        <x:v>Review completed content, delayed items, blockers, and next week follow-up</x:v>
      </x:c>
      <x:c r="E33" s="41" t="str">
        <x:v>Not Started</x:v>
      </x:c>
      <x:c r="F33" s="41" t="str">
        <x:v>Me</x:v>
      </x:c>
      <x:c r="G33" s="41" t="str">
        <x:v>Use notes for blockers and carry-forward tasks</x:v>
      </x:c>
    </x:row>
    <x:row r="34" ht="15.75" customHeight="1">
      <x:c r="A34" s="41" t="str">
        <x:v>W03</x:v>
      </x:c>
      <x:c r="B34" s="41" t="str">
        <x:f>IFERROR(INDEX(Lists!$B$2:$B$14,MATCH(A34,Lists!$A$2:$A$14,0)),"")</x:f>
        <x:v>19 Jul – 25 Jul 2026</x:v>
      </x:c>
      <x:c r="C34" s="41" t="str">
        <x:v>Planning</x:v>
      </x:c>
      <x:c r="D34" s="41" t="str">
        <x:v>Review planned content titles from Content Tracker</x:v>
      </x:c>
      <x:c r="E34" s="41" t="str">
        <x:v>Not Started</x:v>
      </x:c>
      <x:c r="F34" s="41" t="str">
        <x:v>Me</x:v>
      </x:c>
      <x:c r="G34" s="41" t="str">
        <x:v>Planned content: AI PPE Zone Monitoring; Best AI Tools for Industry</x:v>
      </x:c>
    </x:row>
    <x:row r="35" ht="15.75" customHeight="1">
      <x:c r="A35" s="41" t="str">
        <x:v>W03</x:v>
      </x:c>
      <x:c r="B35" s="41" t="str">
        <x:f>IFERROR(INDEX(Lists!$B$2:$B$14,MATCH(A35,Lists!$A$2:$A$14,0)),"")</x:f>
        <x:v>19 Jul – 25 Jul 2026</x:v>
      </x:c>
      <x:c r="C35" s="41" t="str">
        <x:v>Planning</x:v>
      </x:c>
      <x:c r="D35" s="41" t="str">
        <x:v>Confirm 2–3 industrial tutorial/article topics for the week</x:v>
      </x:c>
      <x:c r="E35" s="41" t="str">
        <x:v>Not Started</x:v>
      </x:c>
      <x:c r="F35" s="41" t="str">
        <x:v>Me</x:v>
      </x:c>
      <x:c r="G35" s="41" t="str">
        <x:v>Target: minimum 2, ideal 3 pieces</x:v>
      </x:c>
    </x:row>
    <x:row r="36" ht="15.75" customHeight="1">
      <x:c r="A36" s="41" t="str">
        <x:v>W03</x:v>
      </x:c>
      <x:c r="B36" s="41" t="str">
        <x:f>IFERROR(INDEX(Lists!$B$2:$B$14,MATCH(A36,Lists!$A$2:$A$14,0)),"")</x:f>
        <x:v>19 Jul – 25 Jul 2026</x:v>
      </x:c>
      <x:c r="C36" s="41" t="str">
        <x:v>Video Integration</x:v>
      </x:c>
      <x:c r="D36" s="41" t="str">
        <x:v>Check Solehin TikTok video list from Google Drive</x:v>
      </x:c>
      <x:c r="E36" s="41" t="str">
        <x:v>Not Started</x:v>
      </x:c>
      <x:c r="F36" s="41" t="str">
        <x:v>Me</x:v>
      </x:c>
      <x:c r="G36" s="41" t="str">
        <x:v>Match suitable videos with planned articles</x:v>
      </x:c>
    </x:row>
    <x:row r="37" ht="15.75" customHeight="1">
      <x:c r="A37" s="41" t="str">
        <x:v>W03</x:v>
      </x:c>
      <x:c r="B37" s="41" t="str">
        <x:f>IFERROR(INDEX(Lists!$B$2:$B$14,MATCH(A37,Lists!$A$2:$A$14,0)),"")</x:f>
        <x:v>19 Jul – 25 Jul 2026</x:v>
      </x:c>
      <x:c r="C37" s="41" t="str">
        <x:v>Drafting</x:v>
      </x:c>
      <x:c r="D37" s="41" t="str">
        <x:v>Draft 1st article/tutorial</x:v>
      </x:c>
      <x:c r="E37" s="41" t="str">
        <x:v>Not Started</x:v>
      </x:c>
      <x:c r="F37" s="41" t="str">
        <x:v>Me</x:v>
      </x:c>
      <x:c r="G37" s="41" t="str">
        <x:v>Focus on industrial tutorial/article pipeline</x:v>
      </x:c>
    </x:row>
    <x:row r="38" ht="15.75" customHeight="1">
      <x:c r="A38" s="41" t="str">
        <x:v>W03</x:v>
      </x:c>
      <x:c r="B38" s="41" t="str">
        <x:f>IFERROR(INDEX(Lists!$B$2:$B$14,MATCH(A38,Lists!$A$2:$A$14,0)),"")</x:f>
        <x:v>19 Jul – 25 Jul 2026</x:v>
      </x:c>
      <x:c r="C38" s="41" t="str">
        <x:v>YouTube</x:v>
      </x:c>
      <x:c r="D38" s="41" t="str">
        <x:v>Upload or prepare 1st YouTube video</x:v>
      </x:c>
      <x:c r="E38" s="41" t="str">
        <x:v>Not Started</x:v>
      </x:c>
      <x:c r="F38" s="41" t="str">
        <x:v>Me</x:v>
      </x:c>
      <x:c r="G38" s="41" t="str">
        <x:v>Use related Solehin video if available</x:v>
      </x:c>
    </x:row>
    <x:row r="39" ht="15.75" customHeight="1">
      <x:c r="A39" s="41" t="str">
        <x:v>W03</x:v>
      </x:c>
      <x:c r="B39" s="41" t="str">
        <x:f>IFERROR(INDEX(Lists!$B$2:$B$14,MATCH(A39,Lists!$A$2:$A$14,0)),"")</x:f>
        <x:v>19 Jul – 25 Jul 2026</x:v>
      </x:c>
      <x:c r="C39" s="41" t="str">
        <x:v>Publishing</x:v>
      </x:c>
      <x:c r="D39" s="41" t="str">
        <x:v>Publish or prepare 1st article/tutorial</x:v>
      </x:c>
      <x:c r="E39" s="41" t="str">
        <x:v>Not Started</x:v>
      </x:c>
      <x:c r="F39" s="41" t="str">
        <x:v>Me</x:v>
      </x:c>
      <x:c r="G39" s="41" t="str">
        <x:v>Update URL in Content Tracker after publish</x:v>
      </x:c>
    </x:row>
    <x:row r="40" ht="15.75" customHeight="1">
      <x:c r="A40" s="41" t="str">
        <x:v>W03</x:v>
      </x:c>
      <x:c r="B40" s="41" t="str">
        <x:f>IFERROR(INDEX(Lists!$B$2:$B$14,MATCH(A40,Lists!$A$2:$A$14,0)),"")</x:f>
        <x:v>19 Jul – 25 Jul 2026</x:v>
      </x:c>
      <x:c r="C40" s="41" t="str">
        <x:v>Video Integration</x:v>
      </x:c>
      <x:c r="D40" s="41" t="str">
        <x:v>Check/confirm 2nd suitable Solehin video</x:v>
      </x:c>
      <x:c r="E40" s="41" t="str">
        <x:v>Not Started</x:v>
      </x:c>
      <x:c r="F40" s="41" t="str">
        <x:v>Me</x:v>
      </x:c>
      <x:c r="G40" s="41" t="str">
        <x:v>Use if the week has a matching video</x:v>
      </x:c>
    </x:row>
    <x:row r="41" ht="15.75" customHeight="1">
      <x:c r="A41" s="41" t="str">
        <x:v>W03</x:v>
      </x:c>
      <x:c r="B41" s="41" t="str">
        <x:f>IFERROR(INDEX(Lists!$B$2:$B$14,MATCH(A41,Lists!$A$2:$A$14,0)),"")</x:f>
        <x:v>19 Jul – 25 Jul 2026</x:v>
      </x:c>
      <x:c r="C41" s="41" t="str">
        <x:v>Drafting</x:v>
      </x:c>
      <x:c r="D41" s="41" t="str">
        <x:v>Draft 2nd article/tutorial</x:v>
      </x:c>
      <x:c r="E41" s="41" t="str">
        <x:v>Not Started</x:v>
      </x:c>
      <x:c r="F41" s="41" t="str">
        <x:v>Me</x:v>
      </x:c>
      <x:c r="G41" s="41" t="str">
        <x:v>Focus on industrial tutorial/article pipeline</x:v>
      </x:c>
    </x:row>
    <x:row r="42" ht="15.75" customHeight="1">
      <x:c r="A42" s="41" t="str">
        <x:v>W03</x:v>
      </x:c>
      <x:c r="B42" s="41" t="str">
        <x:f>IFERROR(INDEX(Lists!$B$2:$B$14,MATCH(A42,Lists!$A$2:$A$14,0)),"")</x:f>
        <x:v>19 Jul – 25 Jul 2026</x:v>
      </x:c>
      <x:c r="C42" s="41" t="str">
        <x:v>YouTube</x:v>
      </x:c>
      <x:c r="D42" s="41" t="str">
        <x:v>Upload or prepare 2nd YouTube video</x:v>
      </x:c>
      <x:c r="E42" s="41" t="str">
        <x:v>Not Started</x:v>
      </x:c>
      <x:c r="F42" s="41" t="str">
        <x:v>Me</x:v>
      </x:c>
      <x:c r="G42" s="41" t="str">
        <x:v>Use related Solehin video if available</x:v>
      </x:c>
    </x:row>
    <x:row r="43" ht="15.75" customHeight="1">
      <x:c r="A43" s="41" t="str">
        <x:v>W03</x:v>
      </x:c>
      <x:c r="B43" s="41" t="str">
        <x:f>IFERROR(INDEX(Lists!$B$2:$B$14,MATCH(A43,Lists!$A$2:$A$14,0)),"")</x:f>
        <x:v>19 Jul – 25 Jul 2026</x:v>
      </x:c>
      <x:c r="C43" s="41" t="str">
        <x:v>Publishing</x:v>
      </x:c>
      <x:c r="D43" s="41" t="str">
        <x:v>Publish or prepare 2nd article/tutorial</x:v>
      </x:c>
      <x:c r="E43" s="41" t="str">
        <x:v>Not Started</x:v>
      </x:c>
      <x:c r="F43" s="41" t="str">
        <x:v>Me</x:v>
      </x:c>
      <x:c r="G43" s="41" t="str">
        <x:v>Update URL in Content Tracker after publish</x:v>
      </x:c>
    </x:row>
    <x:row r="44" ht="15.75" customHeight="1">
      <x:c r="A44" s="41" t="str">
        <x:v>W03</x:v>
      </x:c>
      <x:c r="B44" s="41" t="str">
        <x:f>IFERROR(INDEX(Lists!$B$2:$B$14,MATCH(A44,Lists!$A$2:$A$14,0)),"")</x:f>
        <x:v>19 Jul – 25 Jul 2026</x:v>
      </x:c>
      <x:c r="C44" s="41" t="str">
        <x:v>Optional Content</x:v>
      </x:c>
      <x:c r="D44" s="41" t="str">
        <x:v>Draft or publish 3rd article/tutorial if available</x:v>
      </x:c>
      <x:c r="E44" s="41" t="str">
        <x:v>Not Started</x:v>
      </x:c>
      <x:c r="F44" s="41" t="str">
        <x:v>Me</x:v>
      </x:c>
      <x:c r="G44" s="41" t="str">
        <x:v>Use alternating cadence if needed: draft in week 1, publish in week 2</x:v>
      </x:c>
    </x:row>
    <x:row r="45" ht="15.75" customHeight="1">
      <x:c r="A45" s="41" t="str">
        <x:v>W03</x:v>
      </x:c>
      <x:c r="B45" s="41" t="str">
        <x:f>IFERROR(INDEX(Lists!$B$2:$B$14,MATCH(A45,Lists!$A$2:$A$14,0)),"")</x:f>
        <x:v>19 Jul – 25 Jul 2026</x:v>
      </x:c>
      <x:c r="C45" s="41" t="str">
        <x:v>ActiveCampaign</x:v>
      </x:c>
      <x:c r="D45" s="41" t="str">
        <x:v>Identify targeted article/tutorial for ActiveCampaign with Iffah</x:v>
      </x:c>
      <x:c r="E45" s="41" t="str">
        <x:v>Not Started</x:v>
      </x:c>
      <x:c r="F45" s="41" t="str">
        <x:v>Me</x:v>
      </x:c>
      <x:c r="G45" s="41" t="str">
        <x:v>Prioritize content with clear product CTA</x:v>
      </x:c>
    </x:row>
    <x:row r="46" ht="15.75" customHeight="1">
      <x:c r="A46" s="41" t="str">
        <x:v>W03</x:v>
      </x:c>
      <x:c r="B46" s="41" t="str">
        <x:f>IFERROR(INDEX(Lists!$B$2:$B$14,MATCH(A46,Lists!$A$2:$A$14,0)),"")</x:f>
        <x:v>19 Jul – 25 Jul 2026</x:v>
      </x:c>
      <x:c r="C46" s="41" t="str">
        <x:v>ActiveCampaign</x:v>
      </x:c>
      <x:c r="D46" s="41" t="str">
        <x:v>Prepare title, short summary, CTA, and product links</x:v>
      </x:c>
      <x:c r="E46" s="41" t="str">
        <x:v>Not Started</x:v>
      </x:c>
      <x:c r="F46" s="41" t="str">
        <x:v>Me</x:v>
      </x:c>
      <x:c r="G46" s="41" t="str">
        <x:v>Add details into ActiveCampaign Queue</x:v>
      </x:c>
    </x:row>
    <x:row r="47" ht="15.75" customHeight="1">
      <x:c r="A47" s="41" t="str">
        <x:v>W03</x:v>
      </x:c>
      <x:c r="B47" s="41" t="str">
        <x:f>IFERROR(INDEX(Lists!$B$2:$B$14,MATCH(A47,Lists!$A$2:$A$14,0)),"")</x:f>
        <x:v>19 Jul – 25 Jul 2026</x:v>
      </x:c>
      <x:c r="C47" s="41" t="str">
        <x:v>ActiveCampaign</x:v>
      </x:c>
      <x:c r="D47" s="41" t="str">
        <x:v>Confirm ActiveCampaign inclusion status with Iffah</x:v>
      </x:c>
      <x:c r="E47" s="41" t="str">
        <x:v>Not Started</x:v>
      </x:c>
      <x:c r="F47" s="41" t="str">
        <x:v>Iffah</x:v>
      </x:c>
      <x:c r="G47" s="41" t="str">
        <x:v>Update AC Status in Content Tracker</x:v>
      </x:c>
    </x:row>
    <x:row r="48" ht="15.75" customHeight="1">
      <x:c r="A48" s="41" t="str">
        <x:v>W03</x:v>
      </x:c>
      <x:c r="B48" s="41" t="str">
        <x:f>IFERROR(INDEX(Lists!$B$2:$B$14,MATCH(A48,Lists!$A$2:$A$14,0)),"")</x:f>
        <x:v>19 Jul – 25 Jul 2026</x:v>
      </x:c>
      <x:c r="C48" s="41" t="str">
        <x:v>Tracking</x:v>
      </x:c>
      <x:c r="D48" s="41" t="str">
        <x:v>Update Content Tracker with URL, YouTube link, AC status, and views/clicks</x:v>
      </x:c>
      <x:c r="E48" s="41" t="str">
        <x:v>Not Started</x:v>
      </x:c>
      <x:c r="F48" s="41" t="str">
        <x:v>Me</x:v>
      </x:c>
      <x:c r="G48" s="41" t="str">
        <x:v>Record baseline where available</x:v>
      </x:c>
    </x:row>
    <x:row r="49" ht="15.75" customHeight="1">
      <x:c r="A49" s="41" t="str">
        <x:v>W03</x:v>
      </x:c>
      <x:c r="B49" s="41" t="str">
        <x:f>IFERROR(INDEX(Lists!$B$2:$B$14,MATCH(A49,Lists!$A$2:$A$14,0)),"")</x:f>
        <x:v>19 Jul – 25 Jul 2026</x:v>
      </x:c>
      <x:c r="C49" s="41" t="str">
        <x:v>Weekly Review</x:v>
      </x:c>
      <x:c r="D49" s="41" t="str">
        <x:v>Review completed content, delayed items, blockers, and next week follow-up</x:v>
      </x:c>
      <x:c r="E49" s="41" t="str">
        <x:v>Not Started</x:v>
      </x:c>
      <x:c r="F49" s="41" t="str">
        <x:v>Me</x:v>
      </x:c>
      <x:c r="G49" s="41" t="str">
        <x:v>Use notes for blockers and carry-forward tasks</x:v>
      </x:c>
    </x:row>
    <x:row r="50" ht="15.75" customHeight="1">
      <x:c r="A50" s="41" t="str">
        <x:v>W04</x:v>
      </x:c>
      <x:c r="B50" s="41" t="str">
        <x:f>IFERROR(INDEX(Lists!$B$2:$B$14,MATCH(A50,Lists!$A$2:$A$14,0)),"")</x:f>
        <x:v>26 Jul – 01 Aug 2026</x:v>
      </x:c>
      <x:c r="C50" s="41" t="str">
        <x:v>Planning</x:v>
      </x:c>
      <x:c r="D50" s="41" t="str">
        <x:v>Review planned content titles from Content Tracker</x:v>
      </x:c>
      <x:c r="E50" s="41" t="str">
        <x:v>Not Started</x:v>
      </x:c>
      <x:c r="F50" s="41" t="str">
        <x:v>Me</x:v>
      </x:c>
      <x:c r="G50" s="41" t="str">
        <x:v>Planned content: 84 Days Stress Test for IRIV Smarthub CM5; IRIV Pi Control Use Cases (Weather Station); IRIV EdgeAI CM5 Use Cases (Packaging Detection)</x:v>
      </x:c>
    </x:row>
    <x:row r="51" ht="15.75" customHeight="1">
      <x:c r="A51" s="41" t="str">
        <x:v>W04</x:v>
      </x:c>
      <x:c r="B51" s="41" t="str">
        <x:f>IFERROR(INDEX(Lists!$B$2:$B$14,MATCH(A51,Lists!$A$2:$A$14,0)),"")</x:f>
        <x:v>26 Jul – 01 Aug 2026</x:v>
      </x:c>
      <x:c r="C51" s="41" t="str">
        <x:v>Planning</x:v>
      </x:c>
      <x:c r="D51" s="41" t="str">
        <x:v>Confirm 2–3 industrial tutorial/article topics for the week</x:v>
      </x:c>
      <x:c r="E51" s="41" t="str">
        <x:v>Not Started</x:v>
      </x:c>
      <x:c r="F51" s="41" t="str">
        <x:v>Me</x:v>
      </x:c>
      <x:c r="G51" s="41" t="str">
        <x:v>Target: minimum 2, ideal 3 pieces</x:v>
      </x:c>
    </x:row>
    <x:row r="52" ht="15.75" customHeight="1">
      <x:c r="A52" s="41" t="str">
        <x:v>W04</x:v>
      </x:c>
      <x:c r="B52" s="41" t="str">
        <x:f>IFERROR(INDEX(Lists!$B$2:$B$14,MATCH(A52,Lists!$A$2:$A$14,0)),"")</x:f>
        <x:v>26 Jul – 01 Aug 2026</x:v>
      </x:c>
      <x:c r="C52" s="41" t="str">
        <x:v>Video Integration</x:v>
      </x:c>
      <x:c r="D52" s="41" t="str">
        <x:v>Check Solehin TikTok video list from Google Drive</x:v>
      </x:c>
      <x:c r="E52" s="41" t="str">
        <x:v>Not Started</x:v>
      </x:c>
      <x:c r="F52" s="41" t="str">
        <x:v>Me</x:v>
      </x:c>
      <x:c r="G52" s="41" t="str">
        <x:v>Match suitable videos with planned articles</x:v>
      </x:c>
    </x:row>
    <x:row r="53" ht="15.75" customHeight="1">
      <x:c r="A53" s="41" t="str">
        <x:v>W04</x:v>
      </x:c>
      <x:c r="B53" s="41" t="str">
        <x:f>IFERROR(INDEX(Lists!$B$2:$B$14,MATCH(A53,Lists!$A$2:$A$14,0)),"")</x:f>
        <x:v>26 Jul – 01 Aug 2026</x:v>
      </x:c>
      <x:c r="C53" s="41" t="str">
        <x:v>Drafting</x:v>
      </x:c>
      <x:c r="D53" s="41" t="str">
        <x:v>Draft 1st article/tutorial</x:v>
      </x:c>
      <x:c r="E53" s="41" t="str">
        <x:v>Not Started</x:v>
      </x:c>
      <x:c r="F53" s="41" t="str">
        <x:v>Me</x:v>
      </x:c>
      <x:c r="G53" s="41" t="str">
        <x:v>Focus on industrial tutorial/article pipeline</x:v>
      </x:c>
    </x:row>
    <x:row r="54" ht="15.75" customHeight="1">
      <x:c r="A54" s="41" t="str">
        <x:v>W04</x:v>
      </x:c>
      <x:c r="B54" s="41" t="str">
        <x:f>IFERROR(INDEX(Lists!$B$2:$B$14,MATCH(A54,Lists!$A$2:$A$14,0)),"")</x:f>
        <x:v>26 Jul – 01 Aug 2026</x:v>
      </x:c>
      <x:c r="C54" s="41" t="str">
        <x:v>YouTube</x:v>
      </x:c>
      <x:c r="D54" s="41" t="str">
        <x:v>Upload or prepare 1st YouTube video</x:v>
      </x:c>
      <x:c r="E54" s="41" t="str">
        <x:v>Not Started</x:v>
      </x:c>
      <x:c r="F54" s="41" t="str">
        <x:v>Me</x:v>
      </x:c>
      <x:c r="G54" s="41" t="str">
        <x:v>Use related Solehin video if available</x:v>
      </x:c>
    </x:row>
    <x:row r="55" ht="15.75" customHeight="1">
      <x:c r="A55" s="41" t="str">
        <x:v>W04</x:v>
      </x:c>
      <x:c r="B55" s="41" t="str">
        <x:f>IFERROR(INDEX(Lists!$B$2:$B$14,MATCH(A55,Lists!$A$2:$A$14,0)),"")</x:f>
        <x:v>26 Jul – 01 Aug 2026</x:v>
      </x:c>
      <x:c r="C55" s="41" t="str">
        <x:v>Publishing</x:v>
      </x:c>
      <x:c r="D55" s="41" t="str">
        <x:v>Publish or prepare 1st article/tutorial</x:v>
      </x:c>
      <x:c r="E55" s="41" t="str">
        <x:v>Not Started</x:v>
      </x:c>
      <x:c r="F55" s="41" t="str">
        <x:v>Me</x:v>
      </x:c>
      <x:c r="G55" s="41" t="str">
        <x:v>Update URL in Content Tracker after publish</x:v>
      </x:c>
    </x:row>
    <x:row r="56" ht="15.75" customHeight="1">
      <x:c r="A56" s="41" t="str">
        <x:v>W04</x:v>
      </x:c>
      <x:c r="B56" s="41" t="str">
        <x:f>IFERROR(INDEX(Lists!$B$2:$B$14,MATCH(A56,Lists!$A$2:$A$14,0)),"")</x:f>
        <x:v>26 Jul – 01 Aug 2026</x:v>
      </x:c>
      <x:c r="C56" s="41" t="str">
        <x:v>Video Integration</x:v>
      </x:c>
      <x:c r="D56" s="41" t="str">
        <x:v>Check/confirm 2nd suitable Solehin video</x:v>
      </x:c>
      <x:c r="E56" s="41" t="str">
        <x:v>Not Started</x:v>
      </x:c>
      <x:c r="F56" s="41" t="str">
        <x:v>Me</x:v>
      </x:c>
      <x:c r="G56" s="41" t="str">
        <x:v>Use if the week has a matching video</x:v>
      </x:c>
    </x:row>
    <x:row r="57" ht="15.75" customHeight="1">
      <x:c r="A57" s="41" t="str">
        <x:v>W04</x:v>
      </x:c>
      <x:c r="B57" s="41" t="str">
        <x:f>IFERROR(INDEX(Lists!$B$2:$B$14,MATCH(A57,Lists!$A$2:$A$14,0)),"")</x:f>
        <x:v>26 Jul – 01 Aug 2026</x:v>
      </x:c>
      <x:c r="C57" s="41" t="str">
        <x:v>Drafting</x:v>
      </x:c>
      <x:c r="D57" s="41" t="str">
        <x:v>Draft 2nd article/tutorial</x:v>
      </x:c>
      <x:c r="E57" s="41" t="str">
        <x:v>Not Started</x:v>
      </x:c>
      <x:c r="F57" s="41" t="str">
        <x:v>Me</x:v>
      </x:c>
      <x:c r="G57" s="41" t="str">
        <x:v>Focus on industrial tutorial/article pipeline</x:v>
      </x:c>
    </x:row>
    <x:row r="58" ht="15.75" customHeight="1">
      <x:c r="A58" s="41" t="str">
        <x:v>W04</x:v>
      </x:c>
      <x:c r="B58" s="41" t="str">
        <x:f>IFERROR(INDEX(Lists!$B$2:$B$14,MATCH(A58,Lists!$A$2:$A$14,0)),"")</x:f>
        <x:v>26 Jul – 01 Aug 2026</x:v>
      </x:c>
      <x:c r="C58" s="41" t="str">
        <x:v>YouTube</x:v>
      </x:c>
      <x:c r="D58" s="41" t="str">
        <x:v>Upload or prepare 2nd YouTube video</x:v>
      </x:c>
      <x:c r="E58" s="41" t="str">
        <x:v>Not Started</x:v>
      </x:c>
      <x:c r="F58" s="41" t="str">
        <x:v>Me</x:v>
      </x:c>
      <x:c r="G58" s="41" t="str">
        <x:v>Use related Solehin video if available</x:v>
      </x:c>
    </x:row>
    <x:row r="59" ht="15.75" customHeight="1">
      <x:c r="A59" s="41" t="str">
        <x:v>W04</x:v>
      </x:c>
      <x:c r="B59" s="41" t="str">
        <x:f>IFERROR(INDEX(Lists!$B$2:$B$14,MATCH(A59,Lists!$A$2:$A$14,0)),"")</x:f>
        <x:v>26 Jul – 01 Aug 2026</x:v>
      </x:c>
      <x:c r="C59" s="41" t="str">
        <x:v>Publishing</x:v>
      </x:c>
      <x:c r="D59" s="41" t="str">
        <x:v>Publish or prepare 2nd article/tutorial</x:v>
      </x:c>
      <x:c r="E59" s="41" t="str">
        <x:v>Not Started</x:v>
      </x:c>
      <x:c r="F59" s="41" t="str">
        <x:v>Me</x:v>
      </x:c>
      <x:c r="G59" s="41" t="str">
        <x:v>Update URL in Content Tracker after publish</x:v>
      </x:c>
    </x:row>
    <x:row r="60" ht="15.75" customHeight="1">
      <x:c r="A60" s="41" t="str">
        <x:v>W04</x:v>
      </x:c>
      <x:c r="B60" s="41" t="str">
        <x:f>IFERROR(INDEX(Lists!$B$2:$B$14,MATCH(A60,Lists!$A$2:$A$14,0)),"")</x:f>
        <x:v>26 Jul – 01 Aug 2026</x:v>
      </x:c>
      <x:c r="C60" s="41" t="str">
        <x:v>Optional Content</x:v>
      </x:c>
      <x:c r="D60" s="41" t="str">
        <x:v>Draft or publish 3rd article/tutorial if available</x:v>
      </x:c>
      <x:c r="E60" s="41" t="str">
        <x:v>Not Started</x:v>
      </x:c>
      <x:c r="F60" s="41" t="str">
        <x:v>Me</x:v>
      </x:c>
      <x:c r="G60" s="41" t="str">
        <x:v>Use alternating cadence if needed: draft in week 1, publish in week 2</x:v>
      </x:c>
    </x:row>
    <x:row r="61" ht="15.75" customHeight="1">
      <x:c r="A61" s="41" t="str">
        <x:v>W04</x:v>
      </x:c>
      <x:c r="B61" s="41" t="str">
        <x:f>IFERROR(INDEX(Lists!$B$2:$B$14,MATCH(A61,Lists!$A$2:$A$14,0)),"")</x:f>
        <x:v>26 Jul – 01 Aug 2026</x:v>
      </x:c>
      <x:c r="C61" s="41" t="str">
        <x:v>ActiveCampaign</x:v>
      </x:c>
      <x:c r="D61" s="41" t="str">
        <x:v>Identify targeted article/tutorial for ActiveCampaign with Iffah</x:v>
      </x:c>
      <x:c r="E61" s="41" t="str">
        <x:v>Not Started</x:v>
      </x:c>
      <x:c r="F61" s="41" t="str">
        <x:v>Me</x:v>
      </x:c>
      <x:c r="G61" s="41" t="str">
        <x:v>Prioritize content with clear product CTA</x:v>
      </x:c>
    </x:row>
    <x:row r="62" ht="15.75" customHeight="1">
      <x:c r="A62" s="41" t="str">
        <x:v>W04</x:v>
      </x:c>
      <x:c r="B62" s="41" t="str">
        <x:f>IFERROR(INDEX(Lists!$B$2:$B$14,MATCH(A62,Lists!$A$2:$A$14,0)),"")</x:f>
        <x:v>26 Jul – 01 Aug 2026</x:v>
      </x:c>
      <x:c r="C62" s="41" t="str">
        <x:v>ActiveCampaign</x:v>
      </x:c>
      <x:c r="D62" s="41" t="str">
        <x:v>Prepare title, short summary, CTA, and product links</x:v>
      </x:c>
      <x:c r="E62" s="41" t="str">
        <x:v>Not Started</x:v>
      </x:c>
      <x:c r="F62" s="41" t="str">
        <x:v>Me</x:v>
      </x:c>
      <x:c r="G62" s="41" t="str">
        <x:v>Add details into ActiveCampaign Queue</x:v>
      </x:c>
    </x:row>
    <x:row r="63" ht="15.75" customHeight="1">
      <x:c r="A63" s="41" t="str">
        <x:v>W04</x:v>
      </x:c>
      <x:c r="B63" s="41" t="str">
        <x:f>IFERROR(INDEX(Lists!$B$2:$B$14,MATCH(A63,Lists!$A$2:$A$14,0)),"")</x:f>
        <x:v>26 Jul – 01 Aug 2026</x:v>
      </x:c>
      <x:c r="C63" s="41" t="str">
        <x:v>ActiveCampaign</x:v>
      </x:c>
      <x:c r="D63" s="41" t="str">
        <x:v>Confirm ActiveCampaign inclusion status with Iffah</x:v>
      </x:c>
      <x:c r="E63" s="41" t="str">
        <x:v>Not Started</x:v>
      </x:c>
      <x:c r="F63" s="41" t="str">
        <x:v>Iffah</x:v>
      </x:c>
      <x:c r="G63" s="41" t="str">
        <x:v>Update AC Status in Content Tracker</x:v>
      </x:c>
    </x:row>
    <x:row r="64" ht="15.75" customHeight="1">
      <x:c r="A64" s="41" t="str">
        <x:v>W04</x:v>
      </x:c>
      <x:c r="B64" s="41" t="str">
        <x:f>IFERROR(INDEX(Lists!$B$2:$B$14,MATCH(A64,Lists!$A$2:$A$14,0)),"")</x:f>
        <x:v>26 Jul – 01 Aug 2026</x:v>
      </x:c>
      <x:c r="C64" s="41" t="str">
        <x:v>Tracking</x:v>
      </x:c>
      <x:c r="D64" s="41" t="str">
        <x:v>Update Content Tracker with URL, YouTube link, AC status, and views/clicks</x:v>
      </x:c>
      <x:c r="E64" s="41" t="str">
        <x:v>Not Started</x:v>
      </x:c>
      <x:c r="F64" s="41" t="str">
        <x:v>Me</x:v>
      </x:c>
      <x:c r="G64" s="41" t="str">
        <x:v>Record baseline where available</x:v>
      </x:c>
    </x:row>
    <x:row r="65" ht="15.75" customHeight="1">
      <x:c r="A65" s="41" t="str">
        <x:v>W04</x:v>
      </x:c>
      <x:c r="B65" s="41" t="str">
        <x:f>IFERROR(INDEX(Lists!$B$2:$B$14,MATCH(A65,Lists!$A$2:$A$14,0)),"")</x:f>
        <x:v>26 Jul – 01 Aug 2026</x:v>
      </x:c>
      <x:c r="C65" s="41" t="str">
        <x:v>Weekly Review</x:v>
      </x:c>
      <x:c r="D65" s="41" t="str">
        <x:v>Review completed content, delayed items, blockers, and next week follow-up</x:v>
      </x:c>
      <x:c r="E65" s="41" t="str">
        <x:v>Not Started</x:v>
      </x:c>
      <x:c r="F65" s="41" t="str">
        <x:v>Me</x:v>
      </x:c>
      <x:c r="G65" s="41" t="str">
        <x:v>Use notes for blockers and carry-forward tasks</x:v>
      </x:c>
    </x:row>
    <x:row r="66" ht="15.75" customHeight="1">
      <x:c r="A66" s="41" t="str">
        <x:v>W05</x:v>
      </x:c>
      <x:c r="B66" s="41" t="str">
        <x:f>IFERROR(INDEX(Lists!$B$2:$B$14,MATCH(A66,Lists!$A$2:$A$14,0)),"")</x:f>
        <x:v>02 Aug – 08 Aug 2026</x:v>
      </x:c>
      <x:c r="C66" s="41" t="str">
        <x:v>Planning</x:v>
      </x:c>
      <x:c r="D66" s="41" t="str">
        <x:v>Review planned content titles from Content Tracker</x:v>
      </x:c>
      <x:c r="E66" s="41" t="str">
        <x:v>Not Started</x:v>
      </x:c>
      <x:c r="F66" s="41" t="str">
        <x:v>Me</x:v>
      </x:c>
      <x:c r="G66" s="41" t="str">
        <x:v>Planned content: IRIV EdgeAI CM5 Use Cases (Sample Application); IRIV Pi Control Use Cases (Energy Monitoring)</x:v>
      </x:c>
    </x:row>
    <x:row r="67" ht="15.75" customHeight="1">
      <x:c r="A67" s="41" t="str">
        <x:v>W05</x:v>
      </x:c>
      <x:c r="B67" s="41" t="str">
        <x:f>IFERROR(INDEX(Lists!$B$2:$B$14,MATCH(A67,Lists!$A$2:$A$14,0)),"")</x:f>
        <x:v>02 Aug – 08 Aug 2026</x:v>
      </x:c>
      <x:c r="C67" s="41" t="str">
        <x:v>Planning</x:v>
      </x:c>
      <x:c r="D67" s="41" t="str">
        <x:v>Confirm 2–3 industrial tutorial/article topics for the week</x:v>
      </x:c>
      <x:c r="E67" s="41" t="str">
        <x:v>Not Started</x:v>
      </x:c>
      <x:c r="F67" s="41" t="str">
        <x:v>Me</x:v>
      </x:c>
      <x:c r="G67" s="41" t="str">
        <x:v>Target: minimum 2, ideal 3 pieces</x:v>
      </x:c>
    </x:row>
    <x:row r="68" ht="15.75" customHeight="1">
      <x:c r="A68" s="41" t="str">
        <x:v>W05</x:v>
      </x:c>
      <x:c r="B68" s="41" t="str">
        <x:f>IFERROR(INDEX(Lists!$B$2:$B$14,MATCH(A68,Lists!$A$2:$A$14,0)),"")</x:f>
        <x:v>02 Aug – 08 Aug 2026</x:v>
      </x:c>
      <x:c r="C68" s="41" t="str">
        <x:v>Video Integration</x:v>
      </x:c>
      <x:c r="D68" s="41" t="str">
        <x:v>Check Solehin TikTok video list from Google Drive</x:v>
      </x:c>
      <x:c r="E68" s="41" t="str">
        <x:v>Not Started</x:v>
      </x:c>
      <x:c r="F68" s="41" t="str">
        <x:v>Me</x:v>
      </x:c>
      <x:c r="G68" s="41" t="str">
        <x:v>Match suitable videos with planned articles</x:v>
      </x:c>
    </x:row>
    <x:row r="69" ht="15.75" customHeight="1">
      <x:c r="A69" s="41" t="str">
        <x:v>W05</x:v>
      </x:c>
      <x:c r="B69" s="41" t="str">
        <x:f>IFERROR(INDEX(Lists!$B$2:$B$14,MATCH(A69,Lists!$A$2:$A$14,0)),"")</x:f>
        <x:v>02 Aug – 08 Aug 2026</x:v>
      </x:c>
      <x:c r="C69" s="41" t="str">
        <x:v>Drafting</x:v>
      </x:c>
      <x:c r="D69" s="41" t="str">
        <x:v>Draft 1st article/tutorial</x:v>
      </x:c>
      <x:c r="E69" s="41" t="str">
        <x:v>Not Started</x:v>
      </x:c>
      <x:c r="F69" s="41" t="str">
        <x:v>Me</x:v>
      </x:c>
      <x:c r="G69" s="41" t="str">
        <x:v>Focus on industrial tutorial/article pipeline</x:v>
      </x:c>
    </x:row>
    <x:row r="70" ht="15.75" customHeight="1">
      <x:c r="A70" s="41" t="str">
        <x:v>W05</x:v>
      </x:c>
      <x:c r="B70" s="41" t="str">
        <x:f>IFERROR(INDEX(Lists!$B$2:$B$14,MATCH(A70,Lists!$A$2:$A$14,0)),"")</x:f>
        <x:v>02 Aug – 08 Aug 2026</x:v>
      </x:c>
      <x:c r="C70" s="41" t="str">
        <x:v>YouTube</x:v>
      </x:c>
      <x:c r="D70" s="41" t="str">
        <x:v>Upload or prepare 1st YouTube video</x:v>
      </x:c>
      <x:c r="E70" s="41" t="str">
        <x:v>Not Started</x:v>
      </x:c>
      <x:c r="F70" s="41" t="str">
        <x:v>Me</x:v>
      </x:c>
      <x:c r="G70" s="41" t="str">
        <x:v>Use related Solehin video if available</x:v>
      </x:c>
    </x:row>
    <x:row r="71" ht="15.75" customHeight="1">
      <x:c r="A71" s="41" t="str">
        <x:v>W05</x:v>
      </x:c>
      <x:c r="B71" s="41" t="str">
        <x:f>IFERROR(INDEX(Lists!$B$2:$B$14,MATCH(A71,Lists!$A$2:$A$14,0)),"")</x:f>
        <x:v>02 Aug – 08 Aug 2026</x:v>
      </x:c>
      <x:c r="C71" s="41" t="str">
        <x:v>Publishing</x:v>
      </x:c>
      <x:c r="D71" s="41" t="str">
        <x:v>Publish or prepare 1st article/tutorial</x:v>
      </x:c>
      <x:c r="E71" s="41" t="str">
        <x:v>Not Started</x:v>
      </x:c>
      <x:c r="F71" s="41" t="str">
        <x:v>Me</x:v>
      </x:c>
      <x:c r="G71" s="41" t="str">
        <x:v>Update URL in Content Tracker after publish</x:v>
      </x:c>
    </x:row>
    <x:row r="72" ht="15.75" customHeight="1">
      <x:c r="A72" s="41" t="str">
        <x:v>W05</x:v>
      </x:c>
      <x:c r="B72" s="41" t="str">
        <x:f>IFERROR(INDEX(Lists!$B$2:$B$14,MATCH(A72,Lists!$A$2:$A$14,0)),"")</x:f>
        <x:v>02 Aug – 08 Aug 2026</x:v>
      </x:c>
      <x:c r="C72" s="41" t="str">
        <x:v>Video Integration</x:v>
      </x:c>
      <x:c r="D72" s="41" t="str">
        <x:v>Check/confirm 2nd suitable Solehin video</x:v>
      </x:c>
      <x:c r="E72" s="41" t="str">
        <x:v>Not Started</x:v>
      </x:c>
      <x:c r="F72" s="41" t="str">
        <x:v>Me</x:v>
      </x:c>
      <x:c r="G72" s="41" t="str">
        <x:v>Use if the week has a matching video</x:v>
      </x:c>
    </x:row>
    <x:row r="73" ht="15.75" customHeight="1">
      <x:c r="A73" s="41" t="str">
        <x:v>W05</x:v>
      </x:c>
      <x:c r="B73" s="41" t="str">
        <x:f>IFERROR(INDEX(Lists!$B$2:$B$14,MATCH(A73,Lists!$A$2:$A$14,0)),"")</x:f>
        <x:v>02 Aug – 08 Aug 2026</x:v>
      </x:c>
      <x:c r="C73" s="41" t="str">
        <x:v>Drafting</x:v>
      </x:c>
      <x:c r="D73" s="41" t="str">
        <x:v>Draft 2nd article/tutorial</x:v>
      </x:c>
      <x:c r="E73" s="41" t="str">
        <x:v>Not Started</x:v>
      </x:c>
      <x:c r="F73" s="41" t="str">
        <x:v>Me</x:v>
      </x:c>
      <x:c r="G73" s="41" t="str">
        <x:v>Focus on industrial tutorial/article pipeline</x:v>
      </x:c>
    </x:row>
    <x:row r="74" ht="15.75" customHeight="1">
      <x:c r="A74" s="41" t="str">
        <x:v>W05</x:v>
      </x:c>
      <x:c r="B74" s="41" t="str">
        <x:f>IFERROR(INDEX(Lists!$B$2:$B$14,MATCH(A74,Lists!$A$2:$A$14,0)),"")</x:f>
        <x:v>02 Aug – 08 Aug 2026</x:v>
      </x:c>
      <x:c r="C74" s="41" t="str">
        <x:v>YouTube</x:v>
      </x:c>
      <x:c r="D74" s="41" t="str">
        <x:v>Upload or prepare 2nd YouTube video</x:v>
      </x:c>
      <x:c r="E74" s="41" t="str">
        <x:v>Not Started</x:v>
      </x:c>
      <x:c r="F74" s="41" t="str">
        <x:v>Me</x:v>
      </x:c>
      <x:c r="G74" s="41" t="str">
        <x:v>Use related Solehin video if available</x:v>
      </x:c>
    </x:row>
    <x:row r="75" ht="15.75" customHeight="1">
      <x:c r="A75" s="41" t="str">
        <x:v>W05</x:v>
      </x:c>
      <x:c r="B75" s="41" t="str">
        <x:f>IFERROR(INDEX(Lists!$B$2:$B$14,MATCH(A75,Lists!$A$2:$A$14,0)),"")</x:f>
        <x:v>02 Aug – 08 Aug 2026</x:v>
      </x:c>
      <x:c r="C75" s="41" t="str">
        <x:v>Publishing</x:v>
      </x:c>
      <x:c r="D75" s="41" t="str">
        <x:v>Publish or prepare 2nd article/tutorial</x:v>
      </x:c>
      <x:c r="E75" s="41" t="str">
        <x:v>Not Started</x:v>
      </x:c>
      <x:c r="F75" s="41" t="str">
        <x:v>Me</x:v>
      </x:c>
      <x:c r="G75" s="41" t="str">
        <x:v>Update URL in Content Tracker after publish</x:v>
      </x:c>
    </x:row>
    <x:row r="76" ht="15.75" customHeight="1">
      <x:c r="A76" s="41" t="str">
        <x:v>W05</x:v>
      </x:c>
      <x:c r="B76" s="41" t="str">
        <x:f>IFERROR(INDEX(Lists!$B$2:$B$14,MATCH(A76,Lists!$A$2:$A$14,0)),"")</x:f>
        <x:v>02 Aug – 08 Aug 2026</x:v>
      </x:c>
      <x:c r="C76" s="41" t="str">
        <x:v>Optional Content</x:v>
      </x:c>
      <x:c r="D76" s="41" t="str">
        <x:v>Draft or publish 3rd article/tutorial if available</x:v>
      </x:c>
      <x:c r="E76" s="41" t="str">
        <x:v>Not Started</x:v>
      </x:c>
      <x:c r="F76" s="41" t="str">
        <x:v>Me</x:v>
      </x:c>
      <x:c r="G76" s="41" t="str">
        <x:v>Use alternating cadence if needed: draft in week 1, publish in week 2</x:v>
      </x:c>
    </x:row>
    <x:row r="77" ht="15.75" customHeight="1">
      <x:c r="A77" s="41" t="str">
        <x:v>W05</x:v>
      </x:c>
      <x:c r="B77" s="41" t="str">
        <x:f>IFERROR(INDEX(Lists!$B$2:$B$14,MATCH(A77,Lists!$A$2:$A$14,0)),"")</x:f>
        <x:v>02 Aug – 08 Aug 2026</x:v>
      </x:c>
      <x:c r="C77" s="41" t="str">
        <x:v>ActiveCampaign</x:v>
      </x:c>
      <x:c r="D77" s="41" t="str">
        <x:v>Identify targeted article/tutorial for ActiveCampaign with Iffah</x:v>
      </x:c>
      <x:c r="E77" s="41" t="str">
        <x:v>Not Started</x:v>
      </x:c>
      <x:c r="F77" s="41" t="str">
        <x:v>Me</x:v>
      </x:c>
      <x:c r="G77" s="41" t="str">
        <x:v>Prioritize content with clear product CTA</x:v>
      </x:c>
    </x:row>
    <x:row r="78" ht="15.75" customHeight="1">
      <x:c r="A78" s="41" t="str">
        <x:v>W05</x:v>
      </x:c>
      <x:c r="B78" s="41" t="str">
        <x:f>IFERROR(INDEX(Lists!$B$2:$B$14,MATCH(A78,Lists!$A$2:$A$14,0)),"")</x:f>
        <x:v>02 Aug – 08 Aug 2026</x:v>
      </x:c>
      <x:c r="C78" s="41" t="str">
        <x:v>ActiveCampaign</x:v>
      </x:c>
      <x:c r="D78" s="41" t="str">
        <x:v>Prepare title, short summary, CTA, and product links</x:v>
      </x:c>
      <x:c r="E78" s="41" t="str">
        <x:v>Not Started</x:v>
      </x:c>
      <x:c r="F78" s="41" t="str">
        <x:v>Me</x:v>
      </x:c>
      <x:c r="G78" s="41" t="str">
        <x:v>Add details into ActiveCampaign Queue</x:v>
      </x:c>
    </x:row>
    <x:row r="79" ht="15.75" customHeight="1">
      <x:c r="A79" s="41" t="str">
        <x:v>W05</x:v>
      </x:c>
      <x:c r="B79" s="41" t="str">
        <x:f>IFERROR(INDEX(Lists!$B$2:$B$14,MATCH(A79,Lists!$A$2:$A$14,0)),"")</x:f>
        <x:v>02 Aug – 08 Aug 2026</x:v>
      </x:c>
      <x:c r="C79" s="41" t="str">
        <x:v>ActiveCampaign</x:v>
      </x:c>
      <x:c r="D79" s="41" t="str">
        <x:v>Confirm ActiveCampaign inclusion status with Iffah</x:v>
      </x:c>
      <x:c r="E79" s="41" t="str">
        <x:v>Not Started</x:v>
      </x:c>
      <x:c r="F79" s="41" t="str">
        <x:v>Iffah</x:v>
      </x:c>
      <x:c r="G79" s="41" t="str">
        <x:v>Update AC Status in Content Tracker</x:v>
      </x:c>
    </x:row>
    <x:row r="80" ht="15.75" customHeight="1">
      <x:c r="A80" s="41" t="str">
        <x:v>W05</x:v>
      </x:c>
      <x:c r="B80" s="41" t="str">
        <x:f>IFERROR(INDEX(Lists!$B$2:$B$14,MATCH(A80,Lists!$A$2:$A$14,0)),"")</x:f>
        <x:v>02 Aug – 08 Aug 2026</x:v>
      </x:c>
      <x:c r="C80" s="41" t="str">
        <x:v>Tracking</x:v>
      </x:c>
      <x:c r="D80" s="41" t="str">
        <x:v>Update Content Tracker with URL, YouTube link, AC status, and views/clicks</x:v>
      </x:c>
      <x:c r="E80" s="41" t="str">
        <x:v>Not Started</x:v>
      </x:c>
      <x:c r="F80" s="41" t="str">
        <x:v>Me</x:v>
      </x:c>
      <x:c r="G80" s="41" t="str">
        <x:v>Record baseline where available</x:v>
      </x:c>
    </x:row>
    <x:row r="81" ht="15.75" customHeight="1">
      <x:c r="A81" s="41" t="str">
        <x:v>W05</x:v>
      </x:c>
      <x:c r="B81" s="41" t="str">
        <x:f>IFERROR(INDEX(Lists!$B$2:$B$14,MATCH(A81,Lists!$A$2:$A$14,0)),"")</x:f>
        <x:v>02 Aug – 08 Aug 2026</x:v>
      </x:c>
      <x:c r="C81" s="41" t="str">
        <x:v>Weekly Review</x:v>
      </x:c>
      <x:c r="D81" s="41" t="str">
        <x:v>Review completed content, delayed items, blockers, and next week follow-up</x:v>
      </x:c>
      <x:c r="E81" s="41" t="str">
        <x:v>Not Started</x:v>
      </x:c>
      <x:c r="F81" s="41" t="str">
        <x:v>Me</x:v>
      </x:c>
      <x:c r="G81" s="41" t="str">
        <x:v>Use notes for blockers and carry-forward tasks</x:v>
      </x:c>
    </x:row>
    <x:row r="82" ht="15.75" customHeight="1">
      <x:c r="A82" s="41" t="str">
        <x:v>W06</x:v>
      </x:c>
      <x:c r="B82" s="41" t="str">
        <x:f>IFERROR(INDEX(Lists!$B$2:$B$14,MATCH(A82,Lists!$A$2:$A$14,0)),"")</x:f>
        <x:v>09 Aug – 15 Aug 2026</x:v>
      </x:c>
      <x:c r="C82" s="41" t="str">
        <x:v>Planning</x:v>
      </x:c>
      <x:c r="D82" s="41" t="str">
        <x:v>Review planned content titles from Content Tracker</x:v>
      </x:c>
      <x:c r="E82" s="41" t="str">
        <x:v>Not Started</x:v>
      </x:c>
      <x:c r="F82" s="41" t="str">
        <x:v>Me</x:v>
      </x:c>
      <x:c r="G82" s="41" t="str">
        <x:v>Planned content: IRIV EdgeAI CM5 Use Cases (PPE Safety Detection); IRIV Pi Control Use Cases (System Failure Notification); IRIV SmartHub CM5 Use Cases (Digital Signage)</x:v>
      </x:c>
    </x:row>
    <x:row r="83" ht="15.75" customHeight="1">
      <x:c r="A83" s="41" t="str">
        <x:v>W06</x:v>
      </x:c>
      <x:c r="B83" s="41" t="str">
        <x:f>IFERROR(INDEX(Lists!$B$2:$B$14,MATCH(A83,Lists!$A$2:$A$14,0)),"")</x:f>
        <x:v>09 Aug – 15 Aug 2026</x:v>
      </x:c>
      <x:c r="C83" s="41" t="str">
        <x:v>Planning</x:v>
      </x:c>
      <x:c r="D83" s="41" t="str">
        <x:v>Confirm 2–3 industrial tutorial/article topics for the week</x:v>
      </x:c>
      <x:c r="E83" s="41" t="str">
        <x:v>Not Started</x:v>
      </x:c>
      <x:c r="F83" s="41" t="str">
        <x:v>Me</x:v>
      </x:c>
      <x:c r="G83" s="41" t="str">
        <x:v>Target: minimum 2, ideal 3 pieces</x:v>
      </x:c>
    </x:row>
    <x:row r="84" ht="15.75" customHeight="1">
      <x:c r="A84" s="41" t="str">
        <x:v>W06</x:v>
      </x:c>
      <x:c r="B84" s="41" t="str">
        <x:f>IFERROR(INDEX(Lists!$B$2:$B$14,MATCH(A84,Lists!$A$2:$A$14,0)),"")</x:f>
        <x:v>09 Aug – 15 Aug 2026</x:v>
      </x:c>
      <x:c r="C84" s="41" t="str">
        <x:v>Video Integration</x:v>
      </x:c>
      <x:c r="D84" s="41" t="str">
        <x:v>Check Solehin TikTok video list from Google Drive</x:v>
      </x:c>
      <x:c r="E84" s="41" t="str">
        <x:v>Not Started</x:v>
      </x:c>
      <x:c r="F84" s="41" t="str">
        <x:v>Me</x:v>
      </x:c>
      <x:c r="G84" s="41" t="str">
        <x:v>Match suitable videos with planned articles</x:v>
      </x:c>
    </x:row>
    <x:row r="85" ht="15.75" customHeight="1">
      <x:c r="A85" s="41" t="str">
        <x:v>W06</x:v>
      </x:c>
      <x:c r="B85" s="41" t="str">
        <x:f>IFERROR(INDEX(Lists!$B$2:$B$14,MATCH(A85,Lists!$A$2:$A$14,0)),"")</x:f>
        <x:v>09 Aug – 15 Aug 2026</x:v>
      </x:c>
      <x:c r="C85" s="41" t="str">
        <x:v>Drafting</x:v>
      </x:c>
      <x:c r="D85" s="41" t="str">
        <x:v>Draft 1st article/tutorial</x:v>
      </x:c>
      <x:c r="E85" s="41" t="str">
        <x:v>Not Started</x:v>
      </x:c>
      <x:c r="F85" s="41" t="str">
        <x:v>Me</x:v>
      </x:c>
      <x:c r="G85" s="41" t="str">
        <x:v>Focus on industrial tutorial/article pipeline</x:v>
      </x:c>
    </x:row>
    <x:row r="86" ht="15.75" customHeight="1">
      <x:c r="A86" s="41" t="str">
        <x:v>W06</x:v>
      </x:c>
      <x:c r="B86" s="41" t="str">
        <x:f>IFERROR(INDEX(Lists!$B$2:$B$14,MATCH(A86,Lists!$A$2:$A$14,0)),"")</x:f>
        <x:v>09 Aug – 15 Aug 2026</x:v>
      </x:c>
      <x:c r="C86" s="41" t="str">
        <x:v>YouTube</x:v>
      </x:c>
      <x:c r="D86" s="41" t="str">
        <x:v>Upload or prepare 1st YouTube video</x:v>
      </x:c>
      <x:c r="E86" s="41" t="str">
        <x:v>Not Started</x:v>
      </x:c>
      <x:c r="F86" s="41" t="str">
        <x:v>Me</x:v>
      </x:c>
      <x:c r="G86" s="41" t="str">
        <x:v>Use related Solehin video if available</x:v>
      </x:c>
    </x:row>
    <x:row r="87" ht="15.75" customHeight="1">
      <x:c r="A87" s="41" t="str">
        <x:v>W06</x:v>
      </x:c>
      <x:c r="B87" s="41" t="str">
        <x:f>IFERROR(INDEX(Lists!$B$2:$B$14,MATCH(A87,Lists!$A$2:$A$14,0)),"")</x:f>
        <x:v>09 Aug – 15 Aug 2026</x:v>
      </x:c>
      <x:c r="C87" s="41" t="str">
        <x:v>Publishing</x:v>
      </x:c>
      <x:c r="D87" s="41" t="str">
        <x:v>Publish or prepare 1st article/tutorial</x:v>
      </x:c>
      <x:c r="E87" s="41" t="str">
        <x:v>Not Started</x:v>
      </x:c>
      <x:c r="F87" s="41" t="str">
        <x:v>Me</x:v>
      </x:c>
      <x:c r="G87" s="41" t="str">
        <x:v>Update URL in Content Tracker after publish</x:v>
      </x:c>
    </x:row>
    <x:row r="88" ht="15.75" customHeight="1">
      <x:c r="A88" s="41" t="str">
        <x:v>W06</x:v>
      </x:c>
      <x:c r="B88" s="41" t="str">
        <x:f>IFERROR(INDEX(Lists!$B$2:$B$14,MATCH(A88,Lists!$A$2:$A$14,0)),"")</x:f>
        <x:v>09 Aug – 15 Aug 2026</x:v>
      </x:c>
      <x:c r="C88" s="41" t="str">
        <x:v>Video Integration</x:v>
      </x:c>
      <x:c r="D88" s="41" t="str">
        <x:v>Check/confirm 2nd suitable Solehin video</x:v>
      </x:c>
      <x:c r="E88" s="41" t="str">
        <x:v>Not Started</x:v>
      </x:c>
      <x:c r="F88" s="41" t="str">
        <x:v>Me</x:v>
      </x:c>
      <x:c r="G88" s="41" t="str">
        <x:v>Use if the week has a matching video</x:v>
      </x:c>
    </x:row>
    <x:row r="89" ht="15.75" customHeight="1">
      <x:c r="A89" s="41" t="str">
        <x:v>W06</x:v>
      </x:c>
      <x:c r="B89" s="41" t="str">
        <x:f>IFERROR(INDEX(Lists!$B$2:$B$14,MATCH(A89,Lists!$A$2:$A$14,0)),"")</x:f>
        <x:v>09 Aug – 15 Aug 2026</x:v>
      </x:c>
      <x:c r="C89" s="41" t="str">
        <x:v>Drafting</x:v>
      </x:c>
      <x:c r="D89" s="41" t="str">
        <x:v>Draft 2nd article/tutorial</x:v>
      </x:c>
      <x:c r="E89" s="41" t="str">
        <x:v>Not Started</x:v>
      </x:c>
      <x:c r="F89" s="41" t="str">
        <x:v>Me</x:v>
      </x:c>
      <x:c r="G89" s="41" t="str">
        <x:v>Focus on industrial tutorial/article pipeline</x:v>
      </x:c>
    </x:row>
    <x:row r="90" ht="15.75" customHeight="1">
      <x:c r="A90" s="41" t="str">
        <x:v>W06</x:v>
      </x:c>
      <x:c r="B90" s="41" t="str">
        <x:f>IFERROR(INDEX(Lists!$B$2:$B$14,MATCH(A90,Lists!$A$2:$A$14,0)),"")</x:f>
        <x:v>09 Aug – 15 Aug 2026</x:v>
      </x:c>
      <x:c r="C90" s="41" t="str">
        <x:v>YouTube</x:v>
      </x:c>
      <x:c r="D90" s="41" t="str">
        <x:v>Upload or prepare 2nd YouTube video</x:v>
      </x:c>
      <x:c r="E90" s="41" t="str">
        <x:v>Not Started</x:v>
      </x:c>
      <x:c r="F90" s="41" t="str">
        <x:v>Me</x:v>
      </x:c>
      <x:c r="G90" s="41" t="str">
        <x:v>Use related Solehin video if available</x:v>
      </x:c>
    </x:row>
    <x:row r="91" ht="15.75" customHeight="1">
      <x:c r="A91" s="41" t="str">
        <x:v>W06</x:v>
      </x:c>
      <x:c r="B91" s="41" t="str">
        <x:f>IFERROR(INDEX(Lists!$B$2:$B$14,MATCH(A91,Lists!$A$2:$A$14,0)),"")</x:f>
        <x:v>09 Aug – 15 Aug 2026</x:v>
      </x:c>
      <x:c r="C91" s="41" t="str">
        <x:v>Publishing</x:v>
      </x:c>
      <x:c r="D91" s="41" t="str">
        <x:v>Publish or prepare 2nd article/tutorial</x:v>
      </x:c>
      <x:c r="E91" s="41" t="str">
        <x:v>Not Started</x:v>
      </x:c>
      <x:c r="F91" s="41" t="str">
        <x:v>Me</x:v>
      </x:c>
      <x:c r="G91" s="41" t="str">
        <x:v>Update URL in Content Tracker after publish</x:v>
      </x:c>
    </x:row>
    <x:row r="92" ht="15.75" customHeight="1">
      <x:c r="A92" s="41" t="str">
        <x:v>W06</x:v>
      </x:c>
      <x:c r="B92" s="41" t="str">
        <x:f>IFERROR(INDEX(Lists!$B$2:$B$14,MATCH(A92,Lists!$A$2:$A$14,0)),"")</x:f>
        <x:v>09 Aug – 15 Aug 2026</x:v>
      </x:c>
      <x:c r="C92" s="41" t="str">
        <x:v>Optional Content</x:v>
      </x:c>
      <x:c r="D92" s="41" t="str">
        <x:v>Draft or publish 3rd article/tutorial if available</x:v>
      </x:c>
      <x:c r="E92" s="41" t="str">
        <x:v>Not Started</x:v>
      </x:c>
      <x:c r="F92" s="41" t="str">
        <x:v>Me</x:v>
      </x:c>
      <x:c r="G92" s="41" t="str">
        <x:v>Use alternating cadence if needed: draft in week 1, publish in week 2</x:v>
      </x:c>
    </x:row>
    <x:row r="93" ht="15.75" customHeight="1">
      <x:c r="A93" s="41" t="str">
        <x:v>W06</x:v>
      </x:c>
      <x:c r="B93" s="41" t="str">
        <x:f>IFERROR(INDEX(Lists!$B$2:$B$14,MATCH(A93,Lists!$A$2:$A$14,0)),"")</x:f>
        <x:v>09 Aug – 15 Aug 2026</x:v>
      </x:c>
      <x:c r="C93" s="41" t="str">
        <x:v>ActiveCampaign</x:v>
      </x:c>
      <x:c r="D93" s="41" t="str">
        <x:v>Identify targeted article/tutorial for ActiveCampaign with Iffah</x:v>
      </x:c>
      <x:c r="E93" s="41" t="str">
        <x:v>Not Started</x:v>
      </x:c>
      <x:c r="F93" s="41" t="str">
        <x:v>Me</x:v>
      </x:c>
      <x:c r="G93" s="41" t="str">
        <x:v>Prioritize content with clear product CTA</x:v>
      </x:c>
    </x:row>
    <x:row r="94" ht="15.75" customHeight="1">
      <x:c r="A94" s="41" t="str">
        <x:v>W06</x:v>
      </x:c>
      <x:c r="B94" s="41" t="str">
        <x:f>IFERROR(INDEX(Lists!$B$2:$B$14,MATCH(A94,Lists!$A$2:$A$14,0)),"")</x:f>
        <x:v>09 Aug – 15 Aug 2026</x:v>
      </x:c>
      <x:c r="C94" s="41" t="str">
        <x:v>ActiveCampaign</x:v>
      </x:c>
      <x:c r="D94" s="41" t="str">
        <x:v>Prepare title, short summary, CTA, and product links</x:v>
      </x:c>
      <x:c r="E94" s="41" t="str">
        <x:v>Not Started</x:v>
      </x:c>
      <x:c r="F94" s="41" t="str">
        <x:v>Me</x:v>
      </x:c>
      <x:c r="G94" s="41" t="str">
        <x:v>Add details into ActiveCampaign Queue</x:v>
      </x:c>
    </x:row>
    <x:row r="95" ht="15.75" customHeight="1">
      <x:c r="A95" s="41" t="str">
        <x:v>W06</x:v>
      </x:c>
      <x:c r="B95" s="41" t="str">
        <x:f>IFERROR(INDEX(Lists!$B$2:$B$14,MATCH(A95,Lists!$A$2:$A$14,0)),"")</x:f>
        <x:v>09 Aug – 15 Aug 2026</x:v>
      </x:c>
      <x:c r="C95" s="41" t="str">
        <x:v>ActiveCampaign</x:v>
      </x:c>
      <x:c r="D95" s="41" t="str">
        <x:v>Confirm ActiveCampaign inclusion status with Iffah</x:v>
      </x:c>
      <x:c r="E95" s="41" t="str">
        <x:v>Not Started</x:v>
      </x:c>
      <x:c r="F95" s="41" t="str">
        <x:v>Iffah</x:v>
      </x:c>
      <x:c r="G95" s="41" t="str">
        <x:v>Update AC Status in Content Tracker</x:v>
      </x:c>
    </x:row>
    <x:row r="96" ht="15.75" customHeight="1">
      <x:c r="A96" s="41" t="str">
        <x:v>W06</x:v>
      </x:c>
      <x:c r="B96" s="41" t="str">
        <x:f>IFERROR(INDEX(Lists!$B$2:$B$14,MATCH(A96,Lists!$A$2:$A$14,0)),"")</x:f>
        <x:v>09 Aug – 15 Aug 2026</x:v>
      </x:c>
      <x:c r="C96" s="41" t="str">
        <x:v>Tracking</x:v>
      </x:c>
      <x:c r="D96" s="41" t="str">
        <x:v>Update Content Tracker with URL, YouTube link, AC status, and views/clicks</x:v>
      </x:c>
      <x:c r="E96" s="41" t="str">
        <x:v>Not Started</x:v>
      </x:c>
      <x:c r="F96" s="41" t="str">
        <x:v>Me</x:v>
      </x:c>
      <x:c r="G96" s="41" t="str">
        <x:v>Record baseline where available</x:v>
      </x:c>
    </x:row>
    <x:row r="97" ht="15.75" customHeight="1">
      <x:c r="A97" s="41" t="str">
        <x:v>W06</x:v>
      </x:c>
      <x:c r="B97" s="41" t="str">
        <x:f>IFERROR(INDEX(Lists!$B$2:$B$14,MATCH(A97,Lists!$A$2:$A$14,0)),"")</x:f>
        <x:v>09 Aug – 15 Aug 2026</x:v>
      </x:c>
      <x:c r="C97" s="41" t="str">
        <x:v>Weekly Review</x:v>
      </x:c>
      <x:c r="D97" s="41" t="str">
        <x:v>Review completed content, delayed items, blockers, and next week follow-up</x:v>
      </x:c>
      <x:c r="E97" s="41" t="str">
        <x:v>Not Started</x:v>
      </x:c>
      <x:c r="F97" s="41" t="str">
        <x:v>Me</x:v>
      </x:c>
      <x:c r="G97" s="41" t="str">
        <x:v>Use notes for blockers and carry-forward tasks</x:v>
      </x:c>
    </x:row>
    <x:row r="98" ht="15.75" customHeight="1">
      <x:c r="A98" s="41" t="str">
        <x:v>W07</x:v>
      </x:c>
      <x:c r="B98" s="41" t="str">
        <x:f>IFERROR(INDEX(Lists!$B$2:$B$14,MATCH(A98,Lists!$A$2:$A$14,0)),"")</x:f>
        <x:v>16 Aug – 22 Aug 2026</x:v>
      </x:c>
      <x:c r="C98" s="41" t="str">
        <x:v>Planning</x:v>
      </x:c>
      <x:c r="D98" s="41" t="str">
        <x:v>Review planned content titles from Content Tracker</x:v>
      </x:c>
      <x:c r="E98" s="41" t="str">
        <x:v>Not Started</x:v>
      </x:c>
      <x:c r="F98" s="41" t="str">
        <x:v>Me</x:v>
      </x:c>
      <x:c r="G98" s="41" t="str">
        <x:v>No title planned yet in Content Tracker</x:v>
      </x:c>
    </x:row>
    <x:row r="99" ht="15.75" customHeight="1">
      <x:c r="A99" s="41" t="str">
        <x:v>W07</x:v>
      </x:c>
      <x:c r="B99" s="41" t="str">
        <x:f>IFERROR(INDEX(Lists!$B$2:$B$14,MATCH(A99,Lists!$A$2:$A$14,0)),"")</x:f>
        <x:v>16 Aug – 22 Aug 2026</x:v>
      </x:c>
      <x:c r="C99" s="41" t="str">
        <x:v>Planning</x:v>
      </x:c>
      <x:c r="D99" s="41" t="str">
        <x:v>Confirm 2–3 industrial tutorial/article topics for the week</x:v>
      </x:c>
      <x:c r="E99" s="41" t="str">
        <x:v>Not Started</x:v>
      </x:c>
      <x:c r="F99" s="41" t="str">
        <x:v>Me</x:v>
      </x:c>
      <x:c r="G99" s="41" t="str">
        <x:v>Target: minimum 2, ideal 3 pieces</x:v>
      </x:c>
    </x:row>
    <x:row r="100" ht="15.75" customHeight="1">
      <x:c r="A100" s="41" t="str">
        <x:v>W07</x:v>
      </x:c>
      <x:c r="B100" s="41" t="str">
        <x:f>IFERROR(INDEX(Lists!$B$2:$B$14,MATCH(A100,Lists!$A$2:$A$14,0)),"")</x:f>
        <x:v>16 Aug – 22 Aug 2026</x:v>
      </x:c>
      <x:c r="C100" s="41" t="str">
        <x:v>Video Integration</x:v>
      </x:c>
      <x:c r="D100" s="41" t="str">
        <x:v>Check Solehin TikTok video list from Google Drive</x:v>
      </x:c>
      <x:c r="E100" s="41" t="str">
        <x:v>Not Started</x:v>
      </x:c>
      <x:c r="F100" s="41" t="str">
        <x:v>Me</x:v>
      </x:c>
      <x:c r="G100" s="41" t="str">
        <x:v>Match suitable videos with planned articles</x:v>
      </x:c>
    </x:row>
    <x:row r="101" ht="15.75" customHeight="1">
      <x:c r="A101" s="41" t="str">
        <x:v>W07</x:v>
      </x:c>
      <x:c r="B101" s="41" t="str">
        <x:f>IFERROR(INDEX(Lists!$B$2:$B$14,MATCH(A101,Lists!$A$2:$A$14,0)),"")</x:f>
        <x:v>16 Aug – 22 Aug 2026</x:v>
      </x:c>
      <x:c r="C101" s="41" t="str">
        <x:v>Drafting</x:v>
      </x:c>
      <x:c r="D101" s="41" t="str">
        <x:v>Draft 1st article/tutorial</x:v>
      </x:c>
      <x:c r="E101" s="41" t="str">
        <x:v>Not Started</x:v>
      </x:c>
      <x:c r="F101" s="41" t="str">
        <x:v>Me</x:v>
      </x:c>
      <x:c r="G101" s="41" t="str">
        <x:v>Focus on industrial tutorial/article pipeline</x:v>
      </x:c>
    </x:row>
    <x:row r="102" ht="15.75" customHeight="1">
      <x:c r="A102" s="41" t="str">
        <x:v>W07</x:v>
      </x:c>
      <x:c r="B102" s="41" t="str">
        <x:f>IFERROR(INDEX(Lists!$B$2:$B$14,MATCH(A102,Lists!$A$2:$A$14,0)),"")</x:f>
        <x:v>16 Aug – 22 Aug 2026</x:v>
      </x:c>
      <x:c r="C102" s="41" t="str">
        <x:v>YouTube</x:v>
      </x:c>
      <x:c r="D102" s="41" t="str">
        <x:v>Upload or prepare 1st YouTube video</x:v>
      </x:c>
      <x:c r="E102" s="41" t="str">
        <x:v>Not Started</x:v>
      </x:c>
      <x:c r="F102" s="41" t="str">
        <x:v>Me</x:v>
      </x:c>
      <x:c r="G102" s="41" t="str">
        <x:v>Use related Solehin video if available</x:v>
      </x:c>
    </x:row>
    <x:row r="103" ht="15.75" customHeight="1">
      <x:c r="A103" s="41" t="str">
        <x:v>W07</x:v>
      </x:c>
      <x:c r="B103" s="41" t="str">
        <x:f>IFERROR(INDEX(Lists!$B$2:$B$14,MATCH(A103,Lists!$A$2:$A$14,0)),"")</x:f>
        <x:v>16 Aug – 22 Aug 2026</x:v>
      </x:c>
      <x:c r="C103" s="41" t="str">
        <x:v>Publishing</x:v>
      </x:c>
      <x:c r="D103" s="41" t="str">
        <x:v>Publish or prepare 1st article/tutorial</x:v>
      </x:c>
      <x:c r="E103" s="41" t="str">
        <x:v>Not Started</x:v>
      </x:c>
      <x:c r="F103" s="41" t="str">
        <x:v>Me</x:v>
      </x:c>
      <x:c r="G103" s="41" t="str">
        <x:v>Update URL in Content Tracker after publish</x:v>
      </x:c>
    </x:row>
    <x:row r="104" ht="15.75" customHeight="1">
      <x:c r="A104" s="41" t="str">
        <x:v>W07</x:v>
      </x:c>
      <x:c r="B104" s="41" t="str">
        <x:f>IFERROR(INDEX(Lists!$B$2:$B$14,MATCH(A104,Lists!$A$2:$A$14,0)),"")</x:f>
        <x:v>16 Aug – 22 Aug 2026</x:v>
      </x:c>
      <x:c r="C104" s="41" t="str">
        <x:v>Video Integration</x:v>
      </x:c>
      <x:c r="D104" s="41" t="str">
        <x:v>Check/confirm 2nd suitable Solehin video</x:v>
      </x:c>
      <x:c r="E104" s="41" t="str">
        <x:v>Not Started</x:v>
      </x:c>
      <x:c r="F104" s="41" t="str">
        <x:v>Me</x:v>
      </x:c>
      <x:c r="G104" s="41" t="str">
        <x:v>Use if the week has a matching video</x:v>
      </x:c>
    </x:row>
    <x:row r="105" ht="15.75" customHeight="1">
      <x:c r="A105" s="41" t="str">
        <x:v>W07</x:v>
      </x:c>
      <x:c r="B105" s="41" t="str">
        <x:f>IFERROR(INDEX(Lists!$B$2:$B$14,MATCH(A105,Lists!$A$2:$A$14,0)),"")</x:f>
        <x:v>16 Aug – 22 Aug 2026</x:v>
      </x:c>
      <x:c r="C105" s="41" t="str">
        <x:v>Drafting</x:v>
      </x:c>
      <x:c r="D105" s="41" t="str">
        <x:v>Draft 2nd article/tutorial</x:v>
      </x:c>
      <x:c r="E105" s="41" t="str">
        <x:v>Not Started</x:v>
      </x:c>
      <x:c r="F105" s="41" t="str">
        <x:v>Me</x:v>
      </x:c>
      <x:c r="G105" s="41" t="str">
        <x:v>Focus on industrial tutorial/article pipeline</x:v>
      </x:c>
    </x:row>
    <x:row r="106" ht="15.75" customHeight="1">
      <x:c r="A106" s="41" t="str">
        <x:v>W07</x:v>
      </x:c>
      <x:c r="B106" s="41" t="str">
        <x:f>IFERROR(INDEX(Lists!$B$2:$B$14,MATCH(A106,Lists!$A$2:$A$14,0)),"")</x:f>
        <x:v>16 Aug – 22 Aug 2026</x:v>
      </x:c>
      <x:c r="C106" s="41" t="str">
        <x:v>YouTube</x:v>
      </x:c>
      <x:c r="D106" s="41" t="str">
        <x:v>Upload or prepare 2nd YouTube video</x:v>
      </x:c>
      <x:c r="E106" s="41" t="str">
        <x:v>Not Started</x:v>
      </x:c>
      <x:c r="F106" s="41" t="str">
        <x:v>Me</x:v>
      </x:c>
      <x:c r="G106" s="41" t="str">
        <x:v>Use related Solehin video if available</x:v>
      </x:c>
    </x:row>
    <x:row r="107" ht="15.75" customHeight="1">
      <x:c r="A107" s="41" t="str">
        <x:v>W07</x:v>
      </x:c>
      <x:c r="B107" s="41" t="str">
        <x:f>IFERROR(INDEX(Lists!$B$2:$B$14,MATCH(A107,Lists!$A$2:$A$14,0)),"")</x:f>
        <x:v>16 Aug – 22 Aug 2026</x:v>
      </x:c>
      <x:c r="C107" s="41" t="str">
        <x:v>Publishing</x:v>
      </x:c>
      <x:c r="D107" s="41" t="str">
        <x:v>Publish or prepare 2nd article/tutorial</x:v>
      </x:c>
      <x:c r="E107" s="41" t="str">
        <x:v>Not Started</x:v>
      </x:c>
      <x:c r="F107" s="41" t="str">
        <x:v>Me</x:v>
      </x:c>
      <x:c r="G107" s="41" t="str">
        <x:v>Update URL in Content Tracker after publish</x:v>
      </x:c>
    </x:row>
    <x:row r="108" ht="15.75" customHeight="1">
      <x:c r="A108" s="41" t="str">
        <x:v>W07</x:v>
      </x:c>
      <x:c r="B108" s="41" t="str">
        <x:f>IFERROR(INDEX(Lists!$B$2:$B$14,MATCH(A108,Lists!$A$2:$A$14,0)),"")</x:f>
        <x:v>16 Aug – 22 Aug 2026</x:v>
      </x:c>
      <x:c r="C108" s="41" t="str">
        <x:v>Optional Content</x:v>
      </x:c>
      <x:c r="D108" s="41" t="str">
        <x:v>Draft or publish 3rd article/tutorial if available</x:v>
      </x:c>
      <x:c r="E108" s="41" t="str">
        <x:v>Not Started</x:v>
      </x:c>
      <x:c r="F108" s="41" t="str">
        <x:v>Me</x:v>
      </x:c>
      <x:c r="G108" s="41" t="str">
        <x:v>Use alternating cadence if needed: draft in week 1, publish in week 2</x:v>
      </x:c>
    </x:row>
    <x:row r="109" ht="15.75" customHeight="1">
      <x:c r="A109" s="41" t="str">
        <x:v>W07</x:v>
      </x:c>
      <x:c r="B109" s="41" t="str">
        <x:f>IFERROR(INDEX(Lists!$B$2:$B$14,MATCH(A109,Lists!$A$2:$A$14,0)),"")</x:f>
        <x:v>16 Aug – 22 Aug 2026</x:v>
      </x:c>
      <x:c r="C109" s="41" t="str">
        <x:v>ActiveCampaign</x:v>
      </x:c>
      <x:c r="D109" s="41" t="str">
        <x:v>Identify targeted article/tutorial for ActiveCampaign with Iffah</x:v>
      </x:c>
      <x:c r="E109" s="41" t="str">
        <x:v>Not Started</x:v>
      </x:c>
      <x:c r="F109" s="41" t="str">
        <x:v>Me</x:v>
      </x:c>
      <x:c r="G109" s="41" t="str">
        <x:v>Prioritize content with clear product CTA</x:v>
      </x:c>
    </x:row>
    <x:row r="110" ht="15.75" customHeight="1">
      <x:c r="A110" s="41" t="str">
        <x:v>W07</x:v>
      </x:c>
      <x:c r="B110" s="41" t="str">
        <x:f>IFERROR(INDEX(Lists!$B$2:$B$14,MATCH(A110,Lists!$A$2:$A$14,0)),"")</x:f>
        <x:v>16 Aug – 22 Aug 2026</x:v>
      </x:c>
      <x:c r="C110" s="41" t="str">
        <x:v>ActiveCampaign</x:v>
      </x:c>
      <x:c r="D110" s="41" t="str">
        <x:v>Prepare title, short summary, CTA, and product links</x:v>
      </x:c>
      <x:c r="E110" s="41" t="str">
        <x:v>Not Started</x:v>
      </x:c>
      <x:c r="F110" s="41" t="str">
        <x:v>Me</x:v>
      </x:c>
      <x:c r="G110" s="41" t="str">
        <x:v>Add details into ActiveCampaign Queue</x:v>
      </x:c>
    </x:row>
    <x:row r="111" ht="15.75" customHeight="1">
      <x:c r="A111" s="41" t="str">
        <x:v>W07</x:v>
      </x:c>
      <x:c r="B111" s="41" t="str">
        <x:f>IFERROR(INDEX(Lists!$B$2:$B$14,MATCH(A111,Lists!$A$2:$A$14,0)),"")</x:f>
        <x:v>16 Aug – 22 Aug 2026</x:v>
      </x:c>
      <x:c r="C111" s="41" t="str">
        <x:v>ActiveCampaign</x:v>
      </x:c>
      <x:c r="D111" s="41" t="str">
        <x:v>Confirm ActiveCampaign inclusion status with Iffah</x:v>
      </x:c>
      <x:c r="E111" s="41" t="str">
        <x:v>Not Started</x:v>
      </x:c>
      <x:c r="F111" s="41" t="str">
        <x:v>Iffah</x:v>
      </x:c>
      <x:c r="G111" s="41" t="str">
        <x:v>Update AC Status in Content Tracker</x:v>
      </x:c>
    </x:row>
    <x:row r="112" ht="15.75" customHeight="1">
      <x:c r="A112" s="41" t="str">
        <x:v>W07</x:v>
      </x:c>
      <x:c r="B112" s="41" t="str">
        <x:f>IFERROR(INDEX(Lists!$B$2:$B$14,MATCH(A112,Lists!$A$2:$A$14,0)),"")</x:f>
        <x:v>16 Aug – 22 Aug 2026</x:v>
      </x:c>
      <x:c r="C112" s="41" t="str">
        <x:v>Tracking</x:v>
      </x:c>
      <x:c r="D112" s="41" t="str">
        <x:v>Update Content Tracker with URL, YouTube link, AC status, and views/clicks</x:v>
      </x:c>
      <x:c r="E112" s="41" t="str">
        <x:v>Not Started</x:v>
      </x:c>
      <x:c r="F112" s="41" t="str">
        <x:v>Me</x:v>
      </x:c>
      <x:c r="G112" s="41" t="str">
        <x:v>Record baseline where available</x:v>
      </x:c>
    </x:row>
    <x:row r="113" ht="15.75" customHeight="1">
      <x:c r="A113" s="41" t="str">
        <x:v>W07</x:v>
      </x:c>
      <x:c r="B113" s="41" t="str">
        <x:f>IFERROR(INDEX(Lists!$B$2:$B$14,MATCH(A113,Lists!$A$2:$A$14,0)),"")</x:f>
        <x:v>16 Aug – 22 Aug 2026</x:v>
      </x:c>
      <x:c r="C113" s="41" t="str">
        <x:v>Weekly Review</x:v>
      </x:c>
      <x:c r="D113" s="41" t="str">
        <x:v>Review completed content, delayed items, blockers, and next week follow-up</x:v>
      </x:c>
      <x:c r="E113" s="41" t="str">
        <x:v>Not Started</x:v>
      </x:c>
      <x:c r="F113" s="41" t="str">
        <x:v>Me</x:v>
      </x:c>
      <x:c r="G113" s="41" t="str">
        <x:v>Use notes for blockers and carry-forward tasks</x:v>
      </x:c>
    </x:row>
    <x:row r="114" ht="15.75" customHeight="1">
      <x:c r="A114" s="41" t="str">
        <x:v>W08</x:v>
      </x:c>
      <x:c r="B114" s="41" t="str">
        <x:f>IFERROR(INDEX(Lists!$B$2:$B$14,MATCH(A114,Lists!$A$2:$A$14,0)),"")</x:f>
        <x:v>23 Aug – 29 Aug 2026</x:v>
      </x:c>
      <x:c r="C114" s="41" t="str">
        <x:v>Planning</x:v>
      </x:c>
      <x:c r="D114" s="41" t="str">
        <x:v>Review planned content titles from Content Tracker</x:v>
      </x:c>
      <x:c r="E114" s="41" t="str">
        <x:v>Not Started</x:v>
      </x:c>
      <x:c r="F114" s="41" t="str">
        <x:v>Me</x:v>
      </x:c>
      <x:c r="G114" s="41" t="str">
        <x:v>No title planned yet in Content Tracker</x:v>
      </x:c>
    </x:row>
    <x:row r="115" ht="15.75" customHeight="1">
      <x:c r="A115" s="41" t="str">
        <x:v>W08</x:v>
      </x:c>
      <x:c r="B115" s="41" t="str">
        <x:f>IFERROR(INDEX(Lists!$B$2:$B$14,MATCH(A115,Lists!$A$2:$A$14,0)),"")</x:f>
        <x:v>23 Aug – 29 Aug 2026</x:v>
      </x:c>
      <x:c r="C115" s="41" t="str">
        <x:v>Planning</x:v>
      </x:c>
      <x:c r="D115" s="41" t="str">
        <x:v>Confirm 2–3 industrial tutorial/article topics for the week</x:v>
      </x:c>
      <x:c r="E115" s="41" t="str">
        <x:v>Not Started</x:v>
      </x:c>
      <x:c r="F115" s="41" t="str">
        <x:v>Me</x:v>
      </x:c>
      <x:c r="G115" s="41" t="str">
        <x:v>Target: minimum 2, ideal 3 pieces</x:v>
      </x:c>
    </x:row>
    <x:row r="116" ht="15.75" customHeight="1">
      <x:c r="A116" s="41" t="str">
        <x:v>W08</x:v>
      </x:c>
      <x:c r="B116" s="41" t="str">
        <x:f>IFERROR(INDEX(Lists!$B$2:$B$14,MATCH(A116,Lists!$A$2:$A$14,0)),"")</x:f>
        <x:v>23 Aug – 29 Aug 2026</x:v>
      </x:c>
      <x:c r="C116" s="41" t="str">
        <x:v>Video Integration</x:v>
      </x:c>
      <x:c r="D116" s="41" t="str">
        <x:v>Check Solehin TikTok video list from Google Drive</x:v>
      </x:c>
      <x:c r="E116" s="41" t="str">
        <x:v>Not Started</x:v>
      </x:c>
      <x:c r="F116" s="41" t="str">
        <x:v>Me</x:v>
      </x:c>
      <x:c r="G116" s="41" t="str">
        <x:v>Match suitable videos with planned articles</x:v>
      </x:c>
    </x:row>
    <x:row r="117" ht="15.75" customHeight="1">
      <x:c r="A117" s="41" t="str">
        <x:v>W08</x:v>
      </x:c>
      <x:c r="B117" s="41" t="str">
        <x:f>IFERROR(INDEX(Lists!$B$2:$B$14,MATCH(A117,Lists!$A$2:$A$14,0)),"")</x:f>
        <x:v>23 Aug – 29 Aug 2026</x:v>
      </x:c>
      <x:c r="C117" s="41" t="str">
        <x:v>Drafting</x:v>
      </x:c>
      <x:c r="D117" s="41" t="str">
        <x:v>Draft 1st article/tutorial</x:v>
      </x:c>
      <x:c r="E117" s="41" t="str">
        <x:v>Not Started</x:v>
      </x:c>
      <x:c r="F117" s="41" t="str">
        <x:v>Me</x:v>
      </x:c>
      <x:c r="G117" s="41" t="str">
        <x:v>Focus on industrial tutorial/article pipeline</x:v>
      </x:c>
    </x:row>
    <x:row r="118" ht="15.75" customHeight="1">
      <x:c r="A118" s="41" t="str">
        <x:v>W08</x:v>
      </x:c>
      <x:c r="B118" s="41" t="str">
        <x:f>IFERROR(INDEX(Lists!$B$2:$B$14,MATCH(A118,Lists!$A$2:$A$14,0)),"")</x:f>
        <x:v>23 Aug – 29 Aug 2026</x:v>
      </x:c>
      <x:c r="C118" s="41" t="str">
        <x:v>YouTube</x:v>
      </x:c>
      <x:c r="D118" s="41" t="str">
        <x:v>Upload or prepare 1st YouTube video</x:v>
      </x:c>
      <x:c r="E118" s="41" t="str">
        <x:v>Not Started</x:v>
      </x:c>
      <x:c r="F118" s="41" t="str">
        <x:v>Me</x:v>
      </x:c>
      <x:c r="G118" s="41" t="str">
        <x:v>Use related Solehin video if available</x:v>
      </x:c>
    </x:row>
    <x:row r="119" ht="15.75" customHeight="1">
      <x:c r="A119" s="41" t="str">
        <x:v>W08</x:v>
      </x:c>
      <x:c r="B119" s="41" t="str">
        <x:f>IFERROR(INDEX(Lists!$B$2:$B$14,MATCH(A119,Lists!$A$2:$A$14,0)),"")</x:f>
        <x:v>23 Aug – 29 Aug 2026</x:v>
      </x:c>
      <x:c r="C119" s="41" t="str">
        <x:v>Publishing</x:v>
      </x:c>
      <x:c r="D119" s="41" t="str">
        <x:v>Publish or prepare 1st article/tutorial</x:v>
      </x:c>
      <x:c r="E119" s="41" t="str">
        <x:v>Not Started</x:v>
      </x:c>
      <x:c r="F119" s="41" t="str">
        <x:v>Me</x:v>
      </x:c>
      <x:c r="G119" s="41" t="str">
        <x:v>Update URL in Content Tracker after publish</x:v>
      </x:c>
    </x:row>
    <x:row r="120" ht="15.75" customHeight="1">
      <x:c r="A120" s="41" t="str">
        <x:v>W08</x:v>
      </x:c>
      <x:c r="B120" s="41" t="str">
        <x:f>IFERROR(INDEX(Lists!$B$2:$B$14,MATCH(A120,Lists!$A$2:$A$14,0)),"")</x:f>
        <x:v>23 Aug – 29 Aug 2026</x:v>
      </x:c>
      <x:c r="C120" s="41" t="str">
        <x:v>Video Integration</x:v>
      </x:c>
      <x:c r="D120" s="41" t="str">
        <x:v>Check/confirm 2nd suitable Solehin video</x:v>
      </x:c>
      <x:c r="E120" s="41" t="str">
        <x:v>Not Started</x:v>
      </x:c>
      <x:c r="F120" s="41" t="str">
        <x:v>Me</x:v>
      </x:c>
      <x:c r="G120" s="41" t="str">
        <x:v>Use if the week has a matching video</x:v>
      </x:c>
    </x:row>
    <x:row r="121" ht="15.75" customHeight="1">
      <x:c r="A121" s="41" t="str">
        <x:v>W08</x:v>
      </x:c>
      <x:c r="B121" s="41" t="str">
        <x:f>IFERROR(INDEX(Lists!$B$2:$B$14,MATCH(A121,Lists!$A$2:$A$14,0)),"")</x:f>
        <x:v>23 Aug – 29 Aug 2026</x:v>
      </x:c>
      <x:c r="C121" s="41" t="str">
        <x:v>Drafting</x:v>
      </x:c>
      <x:c r="D121" s="41" t="str">
        <x:v>Draft 2nd article/tutorial</x:v>
      </x:c>
      <x:c r="E121" s="41" t="str">
        <x:v>Not Started</x:v>
      </x:c>
      <x:c r="F121" s="41" t="str">
        <x:v>Me</x:v>
      </x:c>
      <x:c r="G121" s="41" t="str">
        <x:v>Focus on industrial tutorial/article pipeline</x:v>
      </x:c>
    </x:row>
    <x:row r="122" ht="15.75" customHeight="1">
      <x:c r="A122" s="41" t="str">
        <x:v>W08</x:v>
      </x:c>
      <x:c r="B122" s="41" t="str">
        <x:f>IFERROR(INDEX(Lists!$B$2:$B$14,MATCH(A122,Lists!$A$2:$A$14,0)),"")</x:f>
        <x:v>23 Aug – 29 Aug 2026</x:v>
      </x:c>
      <x:c r="C122" s="41" t="str">
        <x:v>YouTube</x:v>
      </x:c>
      <x:c r="D122" s="41" t="str">
        <x:v>Upload or prepare 2nd YouTube video</x:v>
      </x:c>
      <x:c r="E122" s="41" t="str">
        <x:v>Not Started</x:v>
      </x:c>
      <x:c r="F122" s="41" t="str">
        <x:v>Me</x:v>
      </x:c>
      <x:c r="G122" s="41" t="str">
        <x:v>Use related Solehin video if available</x:v>
      </x:c>
    </x:row>
    <x:row r="123" ht="15.75" customHeight="1">
      <x:c r="A123" s="41" t="str">
        <x:v>W08</x:v>
      </x:c>
      <x:c r="B123" s="41" t="str">
        <x:f>IFERROR(INDEX(Lists!$B$2:$B$14,MATCH(A123,Lists!$A$2:$A$14,0)),"")</x:f>
        <x:v>23 Aug – 29 Aug 2026</x:v>
      </x:c>
      <x:c r="C123" s="41" t="str">
        <x:v>Publishing</x:v>
      </x:c>
      <x:c r="D123" s="41" t="str">
        <x:v>Publish or prepare 2nd article/tutorial</x:v>
      </x:c>
      <x:c r="E123" s="41" t="str">
        <x:v>Not Started</x:v>
      </x:c>
      <x:c r="F123" s="41" t="str">
        <x:v>Me</x:v>
      </x:c>
      <x:c r="G123" s="41" t="str">
        <x:v>Update URL in Content Tracker after publish</x:v>
      </x:c>
    </x:row>
    <x:row r="124" ht="15.75" customHeight="1">
      <x:c r="A124" s="41" t="str">
        <x:v>W08</x:v>
      </x:c>
      <x:c r="B124" s="41" t="str">
        <x:f>IFERROR(INDEX(Lists!$B$2:$B$14,MATCH(A124,Lists!$A$2:$A$14,0)),"")</x:f>
        <x:v>23 Aug – 29 Aug 2026</x:v>
      </x:c>
      <x:c r="C124" s="41" t="str">
        <x:v>Optional Content</x:v>
      </x:c>
      <x:c r="D124" s="41" t="str">
        <x:v>Draft or publish 3rd article/tutorial if available</x:v>
      </x:c>
      <x:c r="E124" s="41" t="str">
        <x:v>Not Started</x:v>
      </x:c>
      <x:c r="F124" s="41" t="str">
        <x:v>Me</x:v>
      </x:c>
      <x:c r="G124" s="41" t="str">
        <x:v>Use alternating cadence if needed: draft in week 1, publish in week 2</x:v>
      </x:c>
    </x:row>
    <x:row r="125" ht="15.75" customHeight="1">
      <x:c r="A125" s="41" t="str">
        <x:v>W08</x:v>
      </x:c>
      <x:c r="B125" s="41" t="str">
        <x:f>IFERROR(INDEX(Lists!$B$2:$B$14,MATCH(A125,Lists!$A$2:$A$14,0)),"")</x:f>
        <x:v>23 Aug – 29 Aug 2026</x:v>
      </x:c>
      <x:c r="C125" s="41" t="str">
        <x:v>ActiveCampaign</x:v>
      </x:c>
      <x:c r="D125" s="41" t="str">
        <x:v>Identify targeted article/tutorial for ActiveCampaign with Iffah</x:v>
      </x:c>
      <x:c r="E125" s="41" t="str">
        <x:v>Not Started</x:v>
      </x:c>
      <x:c r="F125" s="41" t="str">
        <x:v>Me</x:v>
      </x:c>
      <x:c r="G125" s="41" t="str">
        <x:v>Prioritize content with clear product CTA</x:v>
      </x:c>
    </x:row>
    <x:row r="126" ht="15.75" customHeight="1">
      <x:c r="A126" s="41" t="str">
        <x:v>W08</x:v>
      </x:c>
      <x:c r="B126" s="41" t="str">
        <x:f>IFERROR(INDEX(Lists!$B$2:$B$14,MATCH(A126,Lists!$A$2:$A$14,0)),"")</x:f>
        <x:v>23 Aug – 29 Aug 2026</x:v>
      </x:c>
      <x:c r="C126" s="41" t="str">
        <x:v>ActiveCampaign</x:v>
      </x:c>
      <x:c r="D126" s="41" t="str">
        <x:v>Prepare title, short summary, CTA, and product links</x:v>
      </x:c>
      <x:c r="E126" s="41" t="str">
        <x:v>Not Started</x:v>
      </x:c>
      <x:c r="F126" s="41" t="str">
        <x:v>Me</x:v>
      </x:c>
      <x:c r="G126" s="41" t="str">
        <x:v>Add details into ActiveCampaign Queue</x:v>
      </x:c>
    </x:row>
    <x:row r="127" ht="15.75" customHeight="1">
      <x:c r="A127" s="41" t="str">
        <x:v>W08</x:v>
      </x:c>
      <x:c r="B127" s="41" t="str">
        <x:f>IFERROR(INDEX(Lists!$B$2:$B$14,MATCH(A127,Lists!$A$2:$A$14,0)),"")</x:f>
        <x:v>23 Aug – 29 Aug 2026</x:v>
      </x:c>
      <x:c r="C127" s="41" t="str">
        <x:v>ActiveCampaign</x:v>
      </x:c>
      <x:c r="D127" s="41" t="str">
        <x:v>Confirm ActiveCampaign inclusion status with Iffah</x:v>
      </x:c>
      <x:c r="E127" s="41" t="str">
        <x:v>Not Started</x:v>
      </x:c>
      <x:c r="F127" s="41" t="str">
        <x:v>Iffah</x:v>
      </x:c>
      <x:c r="G127" s="41" t="str">
        <x:v>Update AC Status in Content Tracker</x:v>
      </x:c>
    </x:row>
    <x:row r="128" ht="15.75" customHeight="1">
      <x:c r="A128" s="41" t="str">
        <x:v>W08</x:v>
      </x:c>
      <x:c r="B128" s="41" t="str">
        <x:f>IFERROR(INDEX(Lists!$B$2:$B$14,MATCH(A128,Lists!$A$2:$A$14,0)),"")</x:f>
        <x:v>23 Aug – 29 Aug 2026</x:v>
      </x:c>
      <x:c r="C128" s="41" t="str">
        <x:v>Tracking</x:v>
      </x:c>
      <x:c r="D128" s="41" t="str">
        <x:v>Update Content Tracker with URL, YouTube link, AC status, and views/clicks</x:v>
      </x:c>
      <x:c r="E128" s="41" t="str">
        <x:v>Not Started</x:v>
      </x:c>
      <x:c r="F128" s="41" t="str">
        <x:v>Me</x:v>
      </x:c>
      <x:c r="G128" s="41" t="str">
        <x:v>Record baseline where available</x:v>
      </x:c>
    </x:row>
    <x:row r="129" ht="15.75" customHeight="1">
      <x:c r="A129" s="41" t="str">
        <x:v>W08</x:v>
      </x:c>
      <x:c r="B129" s="41" t="str">
        <x:f>IFERROR(INDEX(Lists!$B$2:$B$14,MATCH(A129,Lists!$A$2:$A$14,0)),"")</x:f>
        <x:v>23 Aug – 29 Aug 2026</x:v>
      </x:c>
      <x:c r="C129" s="41" t="str">
        <x:v>Weekly Review</x:v>
      </x:c>
      <x:c r="D129" s="41" t="str">
        <x:v>Review completed content, delayed items, blockers, and next week follow-up</x:v>
      </x:c>
      <x:c r="E129" s="41" t="str">
        <x:v>Not Started</x:v>
      </x:c>
      <x:c r="F129" s="41" t="str">
        <x:v>Me</x:v>
      </x:c>
      <x:c r="G129" s="41" t="str">
        <x:v>Use notes for blockers and carry-forward tasks</x:v>
      </x:c>
    </x:row>
    <x:row r="130" ht="15.75" customHeight="1">
      <x:c r="A130" s="41" t="str">
        <x:v>W09</x:v>
      </x:c>
      <x:c r="B130" s="41" t="str">
        <x:f>IFERROR(INDEX(Lists!$B$2:$B$14,MATCH(A130,Lists!$A$2:$A$14,0)),"")</x:f>
        <x:v>30 Aug – 05 Sep 2026</x:v>
      </x:c>
      <x:c r="C130" s="41" t="str">
        <x:v>Planning</x:v>
      </x:c>
      <x:c r="D130" s="41" t="str">
        <x:v>Review planned content titles from Content Tracker</x:v>
      </x:c>
      <x:c r="E130" s="41" t="str">
        <x:v>Not Started</x:v>
      </x:c>
      <x:c r="F130" s="41" t="str">
        <x:v>Me</x:v>
      </x:c>
      <x:c r="G130" s="41" t="str">
        <x:v>No title planned yet in Content Tracker</x:v>
      </x:c>
    </x:row>
    <x:row r="131" ht="15.75" customHeight="1">
      <x:c r="A131" s="41" t="str">
        <x:v>W09</x:v>
      </x:c>
      <x:c r="B131" s="41" t="str">
        <x:f>IFERROR(INDEX(Lists!$B$2:$B$14,MATCH(A131,Lists!$A$2:$A$14,0)),"")</x:f>
        <x:v>30 Aug – 05 Sep 2026</x:v>
      </x:c>
      <x:c r="C131" s="41" t="str">
        <x:v>Planning</x:v>
      </x:c>
      <x:c r="D131" s="41" t="str">
        <x:v>Confirm 2–3 industrial tutorial/article topics for the week</x:v>
      </x:c>
      <x:c r="E131" s="41" t="str">
        <x:v>Not Started</x:v>
      </x:c>
      <x:c r="F131" s="41" t="str">
        <x:v>Me</x:v>
      </x:c>
      <x:c r="G131" s="41" t="str">
        <x:v>Target: minimum 2, ideal 3 pieces</x:v>
      </x:c>
    </x:row>
    <x:row r="132" ht="15.75" customHeight="1">
      <x:c r="A132" s="41" t="str">
        <x:v>W09</x:v>
      </x:c>
      <x:c r="B132" s="41" t="str">
        <x:f>IFERROR(INDEX(Lists!$B$2:$B$14,MATCH(A132,Lists!$A$2:$A$14,0)),"")</x:f>
        <x:v>30 Aug – 05 Sep 2026</x:v>
      </x:c>
      <x:c r="C132" s="41" t="str">
        <x:v>Video Integration</x:v>
      </x:c>
      <x:c r="D132" s="41" t="str">
        <x:v>Check Solehin TikTok video list from Google Drive</x:v>
      </x:c>
      <x:c r="E132" s="41" t="str">
        <x:v>Not Started</x:v>
      </x:c>
      <x:c r="F132" s="41" t="str">
        <x:v>Me</x:v>
      </x:c>
      <x:c r="G132" s="41" t="str">
        <x:v>Match suitable videos with planned articles</x:v>
      </x:c>
    </x:row>
    <x:row r="133" ht="15.75" customHeight="1">
      <x:c r="A133" s="41" t="str">
        <x:v>W09</x:v>
      </x:c>
      <x:c r="B133" s="41" t="str">
        <x:f>IFERROR(INDEX(Lists!$B$2:$B$14,MATCH(A133,Lists!$A$2:$A$14,0)),"")</x:f>
        <x:v>30 Aug – 05 Sep 2026</x:v>
      </x:c>
      <x:c r="C133" s="41" t="str">
        <x:v>Drafting</x:v>
      </x:c>
      <x:c r="D133" s="41" t="str">
        <x:v>Draft 1st article/tutorial</x:v>
      </x:c>
      <x:c r="E133" s="41" t="str">
        <x:v>Not Started</x:v>
      </x:c>
      <x:c r="F133" s="41" t="str">
        <x:v>Me</x:v>
      </x:c>
      <x:c r="G133" s="41" t="str">
        <x:v>Focus on industrial tutorial/article pipeline</x:v>
      </x:c>
    </x:row>
    <x:row r="134" ht="15.75" customHeight="1">
      <x:c r="A134" s="41" t="str">
        <x:v>W09</x:v>
      </x:c>
      <x:c r="B134" s="41" t="str">
        <x:f>IFERROR(INDEX(Lists!$B$2:$B$14,MATCH(A134,Lists!$A$2:$A$14,0)),"")</x:f>
        <x:v>30 Aug – 05 Sep 2026</x:v>
      </x:c>
      <x:c r="C134" s="41" t="str">
        <x:v>YouTube</x:v>
      </x:c>
      <x:c r="D134" s="41" t="str">
        <x:v>Upload or prepare 1st YouTube video</x:v>
      </x:c>
      <x:c r="E134" s="41" t="str">
        <x:v>Not Started</x:v>
      </x:c>
      <x:c r="F134" s="41" t="str">
        <x:v>Me</x:v>
      </x:c>
      <x:c r="G134" s="41" t="str">
        <x:v>Use related Solehin video if available</x:v>
      </x:c>
    </x:row>
    <x:row r="135" ht="15.75" customHeight="1">
      <x:c r="A135" s="41" t="str">
        <x:v>W09</x:v>
      </x:c>
      <x:c r="B135" s="41" t="str">
        <x:f>IFERROR(INDEX(Lists!$B$2:$B$14,MATCH(A135,Lists!$A$2:$A$14,0)),"")</x:f>
        <x:v>30 Aug – 05 Sep 2026</x:v>
      </x:c>
      <x:c r="C135" s="41" t="str">
        <x:v>Publishing</x:v>
      </x:c>
      <x:c r="D135" s="41" t="str">
        <x:v>Publish or prepare 1st article/tutorial</x:v>
      </x:c>
      <x:c r="E135" s="41" t="str">
        <x:v>Not Started</x:v>
      </x:c>
      <x:c r="F135" s="41" t="str">
        <x:v>Me</x:v>
      </x:c>
      <x:c r="G135" s="41" t="str">
        <x:v>Update URL in Content Tracker after publish</x:v>
      </x:c>
    </x:row>
    <x:row r="136" ht="15.75" customHeight="1">
      <x:c r="A136" s="41" t="str">
        <x:v>W09</x:v>
      </x:c>
      <x:c r="B136" s="41" t="str">
        <x:f>IFERROR(INDEX(Lists!$B$2:$B$14,MATCH(A136,Lists!$A$2:$A$14,0)),"")</x:f>
        <x:v>30 Aug – 05 Sep 2026</x:v>
      </x:c>
      <x:c r="C136" s="41" t="str">
        <x:v>Video Integration</x:v>
      </x:c>
      <x:c r="D136" s="41" t="str">
        <x:v>Check/confirm 2nd suitable Solehin video</x:v>
      </x:c>
      <x:c r="E136" s="41" t="str">
        <x:v>Not Started</x:v>
      </x:c>
      <x:c r="F136" s="41" t="str">
        <x:v>Me</x:v>
      </x:c>
      <x:c r="G136" s="41" t="str">
        <x:v>Use if the week has a matching video</x:v>
      </x:c>
    </x:row>
    <x:row r="137" ht="15.75" customHeight="1">
      <x:c r="A137" s="41" t="str">
        <x:v>W09</x:v>
      </x:c>
      <x:c r="B137" s="41" t="str">
        <x:f>IFERROR(INDEX(Lists!$B$2:$B$14,MATCH(A137,Lists!$A$2:$A$14,0)),"")</x:f>
        <x:v>30 Aug – 05 Sep 2026</x:v>
      </x:c>
      <x:c r="C137" s="41" t="str">
        <x:v>Drafting</x:v>
      </x:c>
      <x:c r="D137" s="41" t="str">
        <x:v>Draft 2nd article/tutorial</x:v>
      </x:c>
      <x:c r="E137" s="41" t="str">
        <x:v>Not Started</x:v>
      </x:c>
      <x:c r="F137" s="41" t="str">
        <x:v>Me</x:v>
      </x:c>
      <x:c r="G137" s="41" t="str">
        <x:v>Focus on industrial tutorial/article pipeline</x:v>
      </x:c>
    </x:row>
    <x:row r="138" ht="15.75" customHeight="1">
      <x:c r="A138" s="41" t="str">
        <x:v>W09</x:v>
      </x:c>
      <x:c r="B138" s="41" t="str">
        <x:f>IFERROR(INDEX(Lists!$B$2:$B$14,MATCH(A138,Lists!$A$2:$A$14,0)),"")</x:f>
        <x:v>30 Aug – 05 Sep 2026</x:v>
      </x:c>
      <x:c r="C138" s="41" t="str">
        <x:v>YouTube</x:v>
      </x:c>
      <x:c r="D138" s="41" t="str">
        <x:v>Upload or prepare 2nd YouTube video</x:v>
      </x:c>
      <x:c r="E138" s="41" t="str">
        <x:v>Not Started</x:v>
      </x:c>
      <x:c r="F138" s="41" t="str">
        <x:v>Me</x:v>
      </x:c>
      <x:c r="G138" s="41" t="str">
        <x:v>Use related Solehin video if available</x:v>
      </x:c>
    </x:row>
    <x:row r="139" ht="15.75" customHeight="1">
      <x:c r="A139" s="41" t="str">
        <x:v>W09</x:v>
      </x:c>
      <x:c r="B139" s="41" t="str">
        <x:f>IFERROR(INDEX(Lists!$B$2:$B$14,MATCH(A139,Lists!$A$2:$A$14,0)),"")</x:f>
        <x:v>30 Aug – 05 Sep 2026</x:v>
      </x:c>
      <x:c r="C139" s="41" t="str">
        <x:v>Publishing</x:v>
      </x:c>
      <x:c r="D139" s="41" t="str">
        <x:v>Publish or prepare 2nd article/tutorial</x:v>
      </x:c>
      <x:c r="E139" s="41" t="str">
        <x:v>Not Started</x:v>
      </x:c>
      <x:c r="F139" s="41" t="str">
        <x:v>Me</x:v>
      </x:c>
      <x:c r="G139" s="41" t="str">
        <x:v>Update URL in Content Tracker after publish</x:v>
      </x:c>
    </x:row>
    <x:row r="140" ht="15.75" customHeight="1">
      <x:c r="A140" s="41" t="str">
        <x:v>W09</x:v>
      </x:c>
      <x:c r="B140" s="41" t="str">
        <x:f>IFERROR(INDEX(Lists!$B$2:$B$14,MATCH(A140,Lists!$A$2:$A$14,0)),"")</x:f>
        <x:v>30 Aug – 05 Sep 2026</x:v>
      </x:c>
      <x:c r="C140" s="41" t="str">
        <x:v>Optional Content</x:v>
      </x:c>
      <x:c r="D140" s="41" t="str">
        <x:v>Draft or publish 3rd article/tutorial if available</x:v>
      </x:c>
      <x:c r="E140" s="41" t="str">
        <x:v>Not Started</x:v>
      </x:c>
      <x:c r="F140" s="41" t="str">
        <x:v>Me</x:v>
      </x:c>
      <x:c r="G140" s="41" t="str">
        <x:v>Use alternating cadence if needed: draft in week 1, publish in week 2</x:v>
      </x:c>
    </x:row>
    <x:row r="141" ht="15.75" customHeight="1">
      <x:c r="A141" s="41" t="str">
        <x:v>W09</x:v>
      </x:c>
      <x:c r="B141" s="41" t="str">
        <x:f>IFERROR(INDEX(Lists!$B$2:$B$14,MATCH(A141,Lists!$A$2:$A$14,0)),"")</x:f>
        <x:v>30 Aug – 05 Sep 2026</x:v>
      </x:c>
      <x:c r="C141" s="41" t="str">
        <x:v>ActiveCampaign</x:v>
      </x:c>
      <x:c r="D141" s="41" t="str">
        <x:v>Identify targeted article/tutorial for ActiveCampaign with Iffah</x:v>
      </x:c>
      <x:c r="E141" s="41" t="str">
        <x:v>Not Started</x:v>
      </x:c>
      <x:c r="F141" s="41" t="str">
        <x:v>Me</x:v>
      </x:c>
      <x:c r="G141" s="41" t="str">
        <x:v>Prioritize content with clear product CTA</x:v>
      </x:c>
    </x:row>
    <x:row r="142" ht="15.75" customHeight="1">
      <x:c r="A142" s="41" t="str">
        <x:v>W09</x:v>
      </x:c>
      <x:c r="B142" s="41" t="str">
        <x:f>IFERROR(INDEX(Lists!$B$2:$B$14,MATCH(A142,Lists!$A$2:$A$14,0)),"")</x:f>
        <x:v>30 Aug – 05 Sep 2026</x:v>
      </x:c>
      <x:c r="C142" s="41" t="str">
        <x:v>ActiveCampaign</x:v>
      </x:c>
      <x:c r="D142" s="41" t="str">
        <x:v>Prepare title, short summary, CTA, and product links</x:v>
      </x:c>
      <x:c r="E142" s="41" t="str">
        <x:v>Not Started</x:v>
      </x:c>
      <x:c r="F142" s="41" t="str">
        <x:v>Me</x:v>
      </x:c>
      <x:c r="G142" s="41" t="str">
        <x:v>Add details into ActiveCampaign Queue</x:v>
      </x:c>
    </x:row>
    <x:row r="143" ht="15.75" customHeight="1">
      <x:c r="A143" s="41" t="str">
        <x:v>W09</x:v>
      </x:c>
      <x:c r="B143" s="41" t="str">
        <x:f>IFERROR(INDEX(Lists!$B$2:$B$14,MATCH(A143,Lists!$A$2:$A$14,0)),"")</x:f>
        <x:v>30 Aug – 05 Sep 2026</x:v>
      </x:c>
      <x:c r="C143" s="41" t="str">
        <x:v>ActiveCampaign</x:v>
      </x:c>
      <x:c r="D143" s="41" t="str">
        <x:v>Confirm ActiveCampaign inclusion status with Iffah</x:v>
      </x:c>
      <x:c r="E143" s="41" t="str">
        <x:v>Not Started</x:v>
      </x:c>
      <x:c r="F143" s="41" t="str">
        <x:v>Iffah</x:v>
      </x:c>
      <x:c r="G143" s="41" t="str">
        <x:v>Update AC Status in Content Tracker</x:v>
      </x:c>
    </x:row>
    <x:row r="144" ht="15.75" customHeight="1">
      <x:c r="A144" s="41" t="str">
        <x:v>W09</x:v>
      </x:c>
      <x:c r="B144" s="41" t="str">
        <x:f>IFERROR(INDEX(Lists!$B$2:$B$14,MATCH(A144,Lists!$A$2:$A$14,0)),"")</x:f>
        <x:v>30 Aug – 05 Sep 2026</x:v>
      </x:c>
      <x:c r="C144" s="41" t="str">
        <x:v>Tracking</x:v>
      </x:c>
      <x:c r="D144" s="41" t="str">
        <x:v>Update Content Tracker with URL, YouTube link, AC status, and views/clicks</x:v>
      </x:c>
      <x:c r="E144" s="41" t="str">
        <x:v>Not Started</x:v>
      </x:c>
      <x:c r="F144" s="41" t="str">
        <x:v>Me</x:v>
      </x:c>
      <x:c r="G144" s="41" t="str">
        <x:v>Record baseline where available</x:v>
      </x:c>
    </x:row>
    <x:row r="145" ht="15.75" customHeight="1">
      <x:c r="A145" s="41" t="str">
        <x:v>W09</x:v>
      </x:c>
      <x:c r="B145" s="41" t="str">
        <x:f>IFERROR(INDEX(Lists!$B$2:$B$14,MATCH(A145,Lists!$A$2:$A$14,0)),"")</x:f>
        <x:v>30 Aug – 05 Sep 2026</x:v>
      </x:c>
      <x:c r="C145" s="41" t="str">
        <x:v>Weekly Review</x:v>
      </x:c>
      <x:c r="D145" s="41" t="str">
        <x:v>Review completed content, delayed items, blockers, and next week follow-up</x:v>
      </x:c>
      <x:c r="E145" s="41" t="str">
        <x:v>Not Started</x:v>
      </x:c>
      <x:c r="F145" s="41" t="str">
        <x:v>Me</x:v>
      </x:c>
      <x:c r="G145" s="41" t="str">
        <x:v>Use notes for blockers and carry-forward tasks</x:v>
      </x:c>
    </x:row>
    <x:row r="146" ht="15.75" customHeight="1">
      <x:c r="A146" s="41" t="str">
        <x:v>W10</x:v>
      </x:c>
      <x:c r="B146" s="41" t="str">
        <x:f>IFERROR(INDEX(Lists!$B$2:$B$14,MATCH(A146,Lists!$A$2:$A$14,0)),"")</x:f>
        <x:v>06 Sep – 12 Sep 2026</x:v>
      </x:c>
      <x:c r="C146" s="41" t="str">
        <x:v>Planning</x:v>
      </x:c>
      <x:c r="D146" s="41" t="str">
        <x:v>Review planned content titles from Content Tracker</x:v>
      </x:c>
      <x:c r="E146" s="41" t="str">
        <x:v>Not Started</x:v>
      </x:c>
      <x:c r="F146" s="41" t="str">
        <x:v>Me</x:v>
      </x:c>
      <x:c r="G146" s="41" t="str">
        <x:v>No title planned yet in Content Tracker</x:v>
      </x:c>
    </x:row>
    <x:row r="147" ht="15.75" customHeight="1">
      <x:c r="A147" s="41" t="str">
        <x:v>W10</x:v>
      </x:c>
      <x:c r="B147" s="41" t="str">
        <x:f>IFERROR(INDEX(Lists!$B$2:$B$14,MATCH(A147,Lists!$A$2:$A$14,0)),"")</x:f>
        <x:v>06 Sep – 12 Sep 2026</x:v>
      </x:c>
      <x:c r="C147" s="41" t="str">
        <x:v>Planning</x:v>
      </x:c>
      <x:c r="D147" s="41" t="str">
        <x:v>Confirm 2–3 industrial tutorial/article topics for the week</x:v>
      </x:c>
      <x:c r="E147" s="41" t="str">
        <x:v>Not Started</x:v>
      </x:c>
      <x:c r="F147" s="41" t="str">
        <x:v>Me</x:v>
      </x:c>
      <x:c r="G147" s="41" t="str">
        <x:v>Target: minimum 2, ideal 3 pieces</x:v>
      </x:c>
    </x:row>
    <x:row r="148" ht="15.75" customHeight="1">
      <x:c r="A148" s="41" t="str">
        <x:v>W10</x:v>
      </x:c>
      <x:c r="B148" s="41" t="str">
        <x:f>IFERROR(INDEX(Lists!$B$2:$B$14,MATCH(A148,Lists!$A$2:$A$14,0)),"")</x:f>
        <x:v>06 Sep – 12 Sep 2026</x:v>
      </x:c>
      <x:c r="C148" s="41" t="str">
        <x:v>Video Integration</x:v>
      </x:c>
      <x:c r="D148" s="41" t="str">
        <x:v>Check Solehin TikTok video list from Google Drive</x:v>
      </x:c>
      <x:c r="E148" s="41" t="str">
        <x:v>Not Started</x:v>
      </x:c>
      <x:c r="F148" s="41" t="str">
        <x:v>Me</x:v>
      </x:c>
      <x:c r="G148" s="41" t="str">
        <x:v>Match suitable videos with planned articles</x:v>
      </x:c>
    </x:row>
    <x:row r="149" ht="15.75" customHeight="1">
      <x:c r="A149" s="41" t="str">
        <x:v>W10</x:v>
      </x:c>
      <x:c r="B149" s="41" t="str">
        <x:f>IFERROR(INDEX(Lists!$B$2:$B$14,MATCH(A149,Lists!$A$2:$A$14,0)),"")</x:f>
        <x:v>06 Sep – 12 Sep 2026</x:v>
      </x:c>
      <x:c r="C149" s="41" t="str">
        <x:v>Drafting</x:v>
      </x:c>
      <x:c r="D149" s="41" t="str">
        <x:v>Draft 1st article/tutorial</x:v>
      </x:c>
      <x:c r="E149" s="41" t="str">
        <x:v>Not Started</x:v>
      </x:c>
      <x:c r="F149" s="41" t="str">
        <x:v>Me</x:v>
      </x:c>
      <x:c r="G149" s="41" t="str">
        <x:v>Focus on industrial tutorial/article pipeline</x:v>
      </x:c>
    </x:row>
    <x:row r="150" ht="15.75" customHeight="1">
      <x:c r="A150" s="41" t="str">
        <x:v>W10</x:v>
      </x:c>
      <x:c r="B150" s="41" t="str">
        <x:f>IFERROR(INDEX(Lists!$B$2:$B$14,MATCH(A150,Lists!$A$2:$A$14,0)),"")</x:f>
        <x:v>06 Sep – 12 Sep 2026</x:v>
      </x:c>
      <x:c r="C150" s="41" t="str">
        <x:v>YouTube</x:v>
      </x:c>
      <x:c r="D150" s="41" t="str">
        <x:v>Upload or prepare 1st YouTube video</x:v>
      </x:c>
      <x:c r="E150" s="41" t="str">
        <x:v>Not Started</x:v>
      </x:c>
      <x:c r="F150" s="41" t="str">
        <x:v>Me</x:v>
      </x:c>
      <x:c r="G150" s="41" t="str">
        <x:v>Use related Solehin video if available</x:v>
      </x:c>
    </x:row>
    <x:row r="151" ht="15.75" customHeight="1">
      <x:c r="A151" s="41" t="str">
        <x:v>W10</x:v>
      </x:c>
      <x:c r="B151" s="41" t="str">
        <x:f>IFERROR(INDEX(Lists!$B$2:$B$14,MATCH(A151,Lists!$A$2:$A$14,0)),"")</x:f>
        <x:v>06 Sep – 12 Sep 2026</x:v>
      </x:c>
      <x:c r="C151" s="41" t="str">
        <x:v>Publishing</x:v>
      </x:c>
      <x:c r="D151" s="41" t="str">
        <x:v>Publish or prepare 1st article/tutorial</x:v>
      </x:c>
      <x:c r="E151" s="41" t="str">
        <x:v>Not Started</x:v>
      </x:c>
      <x:c r="F151" s="41" t="str">
        <x:v>Me</x:v>
      </x:c>
      <x:c r="G151" s="41" t="str">
        <x:v>Update URL in Content Tracker after publish</x:v>
      </x:c>
    </x:row>
    <x:row r="152" ht="15.75" customHeight="1">
      <x:c r="A152" s="41" t="str">
        <x:v>W10</x:v>
      </x:c>
      <x:c r="B152" s="41" t="str">
        <x:f>IFERROR(INDEX(Lists!$B$2:$B$14,MATCH(A152,Lists!$A$2:$A$14,0)),"")</x:f>
        <x:v>06 Sep – 12 Sep 2026</x:v>
      </x:c>
      <x:c r="C152" s="41" t="str">
        <x:v>Video Integration</x:v>
      </x:c>
      <x:c r="D152" s="41" t="str">
        <x:v>Check/confirm 2nd suitable Solehin video</x:v>
      </x:c>
      <x:c r="E152" s="41" t="str">
        <x:v>Not Started</x:v>
      </x:c>
      <x:c r="F152" s="41" t="str">
        <x:v>Me</x:v>
      </x:c>
      <x:c r="G152" s="41" t="str">
        <x:v>Use if the week has a matching video</x:v>
      </x:c>
    </x:row>
    <x:row r="153" ht="15.75" customHeight="1">
      <x:c r="A153" s="41" t="str">
        <x:v>W10</x:v>
      </x:c>
      <x:c r="B153" s="41" t="str">
        <x:f>IFERROR(INDEX(Lists!$B$2:$B$14,MATCH(A153,Lists!$A$2:$A$14,0)),"")</x:f>
        <x:v>06 Sep – 12 Sep 2026</x:v>
      </x:c>
      <x:c r="C153" s="41" t="str">
        <x:v>Drafting</x:v>
      </x:c>
      <x:c r="D153" s="41" t="str">
        <x:v>Draft 2nd article/tutorial</x:v>
      </x:c>
      <x:c r="E153" s="41" t="str">
        <x:v>Not Started</x:v>
      </x:c>
      <x:c r="F153" s="41" t="str">
        <x:v>Me</x:v>
      </x:c>
      <x:c r="G153" s="41" t="str">
        <x:v>Focus on industrial tutorial/article pipeline</x:v>
      </x:c>
    </x:row>
    <x:row r="154" ht="15.75" customHeight="1">
      <x:c r="A154" s="41" t="str">
        <x:v>W10</x:v>
      </x:c>
      <x:c r="B154" s="41" t="str">
        <x:f>IFERROR(INDEX(Lists!$B$2:$B$14,MATCH(A154,Lists!$A$2:$A$14,0)),"")</x:f>
        <x:v>06 Sep – 12 Sep 2026</x:v>
      </x:c>
      <x:c r="C154" s="41" t="str">
        <x:v>YouTube</x:v>
      </x:c>
      <x:c r="D154" s="41" t="str">
        <x:v>Upload or prepare 2nd YouTube video</x:v>
      </x:c>
      <x:c r="E154" s="41" t="str">
        <x:v>Not Started</x:v>
      </x:c>
      <x:c r="F154" s="41" t="str">
        <x:v>Me</x:v>
      </x:c>
      <x:c r="G154" s="41" t="str">
        <x:v>Use related Solehin video if available</x:v>
      </x:c>
    </x:row>
    <x:row r="155" ht="15.75" customHeight="1">
      <x:c r="A155" s="41" t="str">
        <x:v>W10</x:v>
      </x:c>
      <x:c r="B155" s="41" t="str">
        <x:f>IFERROR(INDEX(Lists!$B$2:$B$14,MATCH(A155,Lists!$A$2:$A$14,0)),"")</x:f>
        <x:v>06 Sep – 12 Sep 2026</x:v>
      </x:c>
      <x:c r="C155" s="41" t="str">
        <x:v>Publishing</x:v>
      </x:c>
      <x:c r="D155" s="41" t="str">
        <x:v>Publish or prepare 2nd article/tutorial</x:v>
      </x:c>
      <x:c r="E155" s="41" t="str">
        <x:v>Not Started</x:v>
      </x:c>
      <x:c r="F155" s="41" t="str">
        <x:v>Me</x:v>
      </x:c>
      <x:c r="G155" s="41" t="str">
        <x:v>Update URL in Content Tracker after publish</x:v>
      </x:c>
    </x:row>
    <x:row r="156" ht="15.75" customHeight="1">
      <x:c r="A156" s="41" t="str">
        <x:v>W10</x:v>
      </x:c>
      <x:c r="B156" s="41" t="str">
        <x:f>IFERROR(INDEX(Lists!$B$2:$B$14,MATCH(A156,Lists!$A$2:$A$14,0)),"")</x:f>
        <x:v>06 Sep – 12 Sep 2026</x:v>
      </x:c>
      <x:c r="C156" s="41" t="str">
        <x:v>Optional Content</x:v>
      </x:c>
      <x:c r="D156" s="41" t="str">
        <x:v>Draft or publish 3rd article/tutorial if available</x:v>
      </x:c>
      <x:c r="E156" s="41" t="str">
        <x:v>Not Started</x:v>
      </x:c>
      <x:c r="F156" s="41" t="str">
        <x:v>Me</x:v>
      </x:c>
      <x:c r="G156" s="41" t="str">
        <x:v>Use alternating cadence if needed: draft in week 1, publish in week 2</x:v>
      </x:c>
    </x:row>
    <x:row r="157" ht="15.75" customHeight="1">
      <x:c r="A157" s="41" t="str">
        <x:v>W10</x:v>
      </x:c>
      <x:c r="B157" s="41" t="str">
        <x:f>IFERROR(INDEX(Lists!$B$2:$B$14,MATCH(A157,Lists!$A$2:$A$14,0)),"")</x:f>
        <x:v>06 Sep – 12 Sep 2026</x:v>
      </x:c>
      <x:c r="C157" s="41" t="str">
        <x:v>ActiveCampaign</x:v>
      </x:c>
      <x:c r="D157" s="41" t="str">
        <x:v>Identify targeted article/tutorial for ActiveCampaign with Iffah</x:v>
      </x:c>
      <x:c r="E157" s="41" t="str">
        <x:v>Not Started</x:v>
      </x:c>
      <x:c r="F157" s="41" t="str">
        <x:v>Me</x:v>
      </x:c>
      <x:c r="G157" s="41" t="str">
        <x:v>Prioritize content with clear product CTA</x:v>
      </x:c>
    </x:row>
    <x:row r="158" ht="15.75" customHeight="1">
      <x:c r="A158" s="41" t="str">
        <x:v>W10</x:v>
      </x:c>
      <x:c r="B158" s="41" t="str">
        <x:f>IFERROR(INDEX(Lists!$B$2:$B$14,MATCH(A158,Lists!$A$2:$A$14,0)),"")</x:f>
        <x:v>06 Sep – 12 Sep 2026</x:v>
      </x:c>
      <x:c r="C158" s="41" t="str">
        <x:v>ActiveCampaign</x:v>
      </x:c>
      <x:c r="D158" s="41" t="str">
        <x:v>Prepare title, short summary, CTA, and product links</x:v>
      </x:c>
      <x:c r="E158" s="41" t="str">
        <x:v>Not Started</x:v>
      </x:c>
      <x:c r="F158" s="41" t="str">
        <x:v>Me</x:v>
      </x:c>
      <x:c r="G158" s="41" t="str">
        <x:v>Add details into ActiveCampaign Queue</x:v>
      </x:c>
    </x:row>
    <x:row r="159" ht="15.75" customHeight="1">
      <x:c r="A159" s="41" t="str">
        <x:v>W10</x:v>
      </x:c>
      <x:c r="B159" s="41" t="str">
        <x:f>IFERROR(INDEX(Lists!$B$2:$B$14,MATCH(A159,Lists!$A$2:$A$14,0)),"")</x:f>
        <x:v>06 Sep – 12 Sep 2026</x:v>
      </x:c>
      <x:c r="C159" s="41" t="str">
        <x:v>ActiveCampaign</x:v>
      </x:c>
      <x:c r="D159" s="41" t="str">
        <x:v>Confirm ActiveCampaign inclusion status with Iffah</x:v>
      </x:c>
      <x:c r="E159" s="41" t="str">
        <x:v>Not Started</x:v>
      </x:c>
      <x:c r="F159" s="41" t="str">
        <x:v>Iffah</x:v>
      </x:c>
      <x:c r="G159" s="41" t="str">
        <x:v>Update AC Status in Content Tracker</x:v>
      </x:c>
    </x:row>
    <x:row r="160" ht="15.75" customHeight="1">
      <x:c r="A160" s="41" t="str">
        <x:v>W10</x:v>
      </x:c>
      <x:c r="B160" s="41" t="str">
        <x:f>IFERROR(INDEX(Lists!$B$2:$B$14,MATCH(A160,Lists!$A$2:$A$14,0)),"")</x:f>
        <x:v>06 Sep – 12 Sep 2026</x:v>
      </x:c>
      <x:c r="C160" s="41" t="str">
        <x:v>Tracking</x:v>
      </x:c>
      <x:c r="D160" s="41" t="str">
        <x:v>Update Content Tracker with URL, YouTube link, AC status, and views/clicks</x:v>
      </x:c>
      <x:c r="E160" s="41" t="str">
        <x:v>Not Started</x:v>
      </x:c>
      <x:c r="F160" s="41" t="str">
        <x:v>Me</x:v>
      </x:c>
      <x:c r="G160" s="41" t="str">
        <x:v>Record baseline where available</x:v>
      </x:c>
    </x:row>
    <x:row r="161" ht="15.75" customHeight="1">
      <x:c r="A161" s="41" t="str">
        <x:v>W10</x:v>
      </x:c>
      <x:c r="B161" s="41" t="str">
        <x:f>IFERROR(INDEX(Lists!$B$2:$B$14,MATCH(A161,Lists!$A$2:$A$14,0)),"")</x:f>
        <x:v>06 Sep – 12 Sep 2026</x:v>
      </x:c>
      <x:c r="C161" s="41" t="str">
        <x:v>Weekly Review</x:v>
      </x:c>
      <x:c r="D161" s="41" t="str">
        <x:v>Review completed content, delayed items, blockers, and next week follow-up</x:v>
      </x:c>
      <x:c r="E161" s="41" t="str">
        <x:v>Not Started</x:v>
      </x:c>
      <x:c r="F161" s="41" t="str">
        <x:v>Me</x:v>
      </x:c>
      <x:c r="G161" s="41" t="str">
        <x:v>Use notes for blockers and carry-forward tasks</x:v>
      </x:c>
    </x:row>
    <x:row r="162" ht="15.75" customHeight="1">
      <x:c r="A162" s="41" t="str">
        <x:v>W11</x:v>
      </x:c>
      <x:c r="B162" s="41" t="str">
        <x:f>IFERROR(INDEX(Lists!$B$2:$B$14,MATCH(A162,Lists!$A$2:$A$14,0)),"")</x:f>
        <x:v>13 Sep – 19 Sep 2026</x:v>
      </x:c>
      <x:c r="C162" s="41" t="str">
        <x:v>Planning</x:v>
      </x:c>
      <x:c r="D162" s="41" t="str">
        <x:v>Review planned content titles from Content Tracker</x:v>
      </x:c>
      <x:c r="E162" s="41" t="str">
        <x:v>Not Started</x:v>
      </x:c>
      <x:c r="F162" s="41" t="str">
        <x:v>Me</x:v>
      </x:c>
      <x:c r="G162" s="41" t="str">
        <x:v>No title planned yet in Content Tracker</x:v>
      </x:c>
    </x:row>
    <x:row r="163" ht="15.75" customHeight="1">
      <x:c r="A163" s="41" t="str">
        <x:v>W11</x:v>
      </x:c>
      <x:c r="B163" s="41" t="str">
        <x:f>IFERROR(INDEX(Lists!$B$2:$B$14,MATCH(A163,Lists!$A$2:$A$14,0)),"")</x:f>
        <x:v>13 Sep – 19 Sep 2026</x:v>
      </x:c>
      <x:c r="C163" s="41" t="str">
        <x:v>Planning</x:v>
      </x:c>
      <x:c r="D163" s="41" t="str">
        <x:v>Confirm 2–3 industrial tutorial/article topics for the week</x:v>
      </x:c>
      <x:c r="E163" s="41" t="str">
        <x:v>Not Started</x:v>
      </x:c>
      <x:c r="F163" s="41" t="str">
        <x:v>Me</x:v>
      </x:c>
      <x:c r="G163" s="41" t="str">
        <x:v>Target: minimum 2, ideal 3 pieces</x:v>
      </x:c>
    </x:row>
    <x:row r="164" ht="15.75" customHeight="1">
      <x:c r="A164" s="41" t="str">
        <x:v>W11</x:v>
      </x:c>
      <x:c r="B164" s="41" t="str">
        <x:f>IFERROR(INDEX(Lists!$B$2:$B$14,MATCH(A164,Lists!$A$2:$A$14,0)),"")</x:f>
        <x:v>13 Sep – 19 Sep 2026</x:v>
      </x:c>
      <x:c r="C164" s="41" t="str">
        <x:v>Video Integration</x:v>
      </x:c>
      <x:c r="D164" s="41" t="str">
        <x:v>Check Solehin TikTok video list from Google Drive</x:v>
      </x:c>
      <x:c r="E164" s="41" t="str">
        <x:v>Not Started</x:v>
      </x:c>
      <x:c r="F164" s="41" t="str">
        <x:v>Me</x:v>
      </x:c>
      <x:c r="G164" s="41" t="str">
        <x:v>Match suitable videos with planned articles</x:v>
      </x:c>
    </x:row>
    <x:row r="165" ht="15.75" customHeight="1">
      <x:c r="A165" s="41" t="str">
        <x:v>W11</x:v>
      </x:c>
      <x:c r="B165" s="41" t="str">
        <x:f>IFERROR(INDEX(Lists!$B$2:$B$14,MATCH(A165,Lists!$A$2:$A$14,0)),"")</x:f>
        <x:v>13 Sep – 19 Sep 2026</x:v>
      </x:c>
      <x:c r="C165" s="41" t="str">
        <x:v>Drafting</x:v>
      </x:c>
      <x:c r="D165" s="41" t="str">
        <x:v>Draft 1st article/tutorial</x:v>
      </x:c>
      <x:c r="E165" s="41" t="str">
        <x:v>Not Started</x:v>
      </x:c>
      <x:c r="F165" s="41" t="str">
        <x:v>Me</x:v>
      </x:c>
      <x:c r="G165" s="41" t="str">
        <x:v>Focus on industrial tutorial/article pipeline</x:v>
      </x:c>
    </x:row>
    <x:row r="166" ht="15.75" customHeight="1">
      <x:c r="A166" s="41" t="str">
        <x:v>W11</x:v>
      </x:c>
      <x:c r="B166" s="41" t="str">
        <x:f>IFERROR(INDEX(Lists!$B$2:$B$14,MATCH(A166,Lists!$A$2:$A$14,0)),"")</x:f>
        <x:v>13 Sep – 19 Sep 2026</x:v>
      </x:c>
      <x:c r="C166" s="41" t="str">
        <x:v>YouTube</x:v>
      </x:c>
      <x:c r="D166" s="41" t="str">
        <x:v>Upload or prepare 1st YouTube video</x:v>
      </x:c>
      <x:c r="E166" s="41" t="str">
        <x:v>Not Started</x:v>
      </x:c>
      <x:c r="F166" s="41" t="str">
        <x:v>Me</x:v>
      </x:c>
      <x:c r="G166" s="41" t="str">
        <x:v>Use related Solehin video if available</x:v>
      </x:c>
    </x:row>
    <x:row r="167" ht="15.75" customHeight="1">
      <x:c r="A167" s="41" t="str">
        <x:v>W11</x:v>
      </x:c>
      <x:c r="B167" s="41" t="str">
        <x:f>IFERROR(INDEX(Lists!$B$2:$B$14,MATCH(A167,Lists!$A$2:$A$14,0)),"")</x:f>
        <x:v>13 Sep – 19 Sep 2026</x:v>
      </x:c>
      <x:c r="C167" s="41" t="str">
        <x:v>Publishing</x:v>
      </x:c>
      <x:c r="D167" s="41" t="str">
        <x:v>Publish or prepare 1st article/tutorial</x:v>
      </x:c>
      <x:c r="E167" s="41" t="str">
        <x:v>Not Started</x:v>
      </x:c>
      <x:c r="F167" s="41" t="str">
        <x:v>Me</x:v>
      </x:c>
      <x:c r="G167" s="41" t="str">
        <x:v>Update URL in Content Tracker after publish</x:v>
      </x:c>
    </x:row>
    <x:row r="168" ht="15.75" customHeight="1">
      <x:c r="A168" s="41" t="str">
        <x:v>W11</x:v>
      </x:c>
      <x:c r="B168" s="41" t="str">
        <x:f>IFERROR(INDEX(Lists!$B$2:$B$14,MATCH(A168,Lists!$A$2:$A$14,0)),"")</x:f>
        <x:v>13 Sep – 19 Sep 2026</x:v>
      </x:c>
      <x:c r="C168" s="41" t="str">
        <x:v>Video Integration</x:v>
      </x:c>
      <x:c r="D168" s="41" t="str">
        <x:v>Check/confirm 2nd suitable Solehin video</x:v>
      </x:c>
      <x:c r="E168" s="41" t="str">
        <x:v>Not Started</x:v>
      </x:c>
      <x:c r="F168" s="41" t="str">
        <x:v>Me</x:v>
      </x:c>
      <x:c r="G168" s="41" t="str">
        <x:v>Use if the week has a matching video</x:v>
      </x:c>
    </x:row>
    <x:row r="169" ht="15.75" customHeight="1">
      <x:c r="A169" s="41" t="str">
        <x:v>W11</x:v>
      </x:c>
      <x:c r="B169" s="41" t="str">
        <x:f>IFERROR(INDEX(Lists!$B$2:$B$14,MATCH(A169,Lists!$A$2:$A$14,0)),"")</x:f>
        <x:v>13 Sep – 19 Sep 2026</x:v>
      </x:c>
      <x:c r="C169" s="41" t="str">
        <x:v>Drafting</x:v>
      </x:c>
      <x:c r="D169" s="41" t="str">
        <x:v>Draft 2nd article/tutorial</x:v>
      </x:c>
      <x:c r="E169" s="41" t="str">
        <x:v>Not Started</x:v>
      </x:c>
      <x:c r="F169" s="41" t="str">
        <x:v>Me</x:v>
      </x:c>
      <x:c r="G169" s="41" t="str">
        <x:v>Focus on industrial tutorial/article pipeline</x:v>
      </x:c>
    </x:row>
    <x:row r="170" ht="15.75" customHeight="1">
      <x:c r="A170" s="41" t="str">
        <x:v>W11</x:v>
      </x:c>
      <x:c r="B170" s="41" t="str">
        <x:f>IFERROR(INDEX(Lists!$B$2:$B$14,MATCH(A170,Lists!$A$2:$A$14,0)),"")</x:f>
        <x:v>13 Sep – 19 Sep 2026</x:v>
      </x:c>
      <x:c r="C170" s="41" t="str">
        <x:v>YouTube</x:v>
      </x:c>
      <x:c r="D170" s="41" t="str">
        <x:v>Upload or prepare 2nd YouTube video</x:v>
      </x:c>
      <x:c r="E170" s="41" t="str">
        <x:v>Not Started</x:v>
      </x:c>
      <x:c r="F170" s="41" t="str">
        <x:v>Me</x:v>
      </x:c>
      <x:c r="G170" s="41" t="str">
        <x:v>Use related Solehin video if available</x:v>
      </x:c>
    </x:row>
    <x:row r="171" ht="15.75" customHeight="1">
      <x:c r="A171" s="41" t="str">
        <x:v>W11</x:v>
      </x:c>
      <x:c r="B171" s="41" t="str">
        <x:f>IFERROR(INDEX(Lists!$B$2:$B$14,MATCH(A171,Lists!$A$2:$A$14,0)),"")</x:f>
        <x:v>13 Sep – 19 Sep 2026</x:v>
      </x:c>
      <x:c r="C171" s="41" t="str">
        <x:v>Publishing</x:v>
      </x:c>
      <x:c r="D171" s="41" t="str">
        <x:v>Publish or prepare 2nd article/tutorial</x:v>
      </x:c>
      <x:c r="E171" s="41" t="str">
        <x:v>Not Started</x:v>
      </x:c>
      <x:c r="F171" s="41" t="str">
        <x:v>Me</x:v>
      </x:c>
      <x:c r="G171" s="41" t="str">
        <x:v>Update URL in Content Tracker after publish</x:v>
      </x:c>
    </x:row>
    <x:row r="172" ht="15.75" customHeight="1">
      <x:c r="A172" s="41" t="str">
        <x:v>W11</x:v>
      </x:c>
      <x:c r="B172" s="41" t="str">
        <x:f>IFERROR(INDEX(Lists!$B$2:$B$14,MATCH(A172,Lists!$A$2:$A$14,0)),"")</x:f>
        <x:v>13 Sep – 19 Sep 2026</x:v>
      </x:c>
      <x:c r="C172" s="41" t="str">
        <x:v>Optional Content</x:v>
      </x:c>
      <x:c r="D172" s="41" t="str">
        <x:v>Draft or publish 3rd article/tutorial if available</x:v>
      </x:c>
      <x:c r="E172" s="41" t="str">
        <x:v>Not Started</x:v>
      </x:c>
      <x:c r="F172" s="41" t="str">
        <x:v>Me</x:v>
      </x:c>
      <x:c r="G172" s="41" t="str">
        <x:v>Use alternating cadence if needed: draft in week 1, publish in week 2</x:v>
      </x:c>
    </x:row>
    <x:row r="173" ht="15.75" customHeight="1">
      <x:c r="A173" s="41" t="str">
        <x:v>W11</x:v>
      </x:c>
      <x:c r="B173" s="41" t="str">
        <x:f>IFERROR(INDEX(Lists!$B$2:$B$14,MATCH(A173,Lists!$A$2:$A$14,0)),"")</x:f>
        <x:v>13 Sep – 19 Sep 2026</x:v>
      </x:c>
      <x:c r="C173" s="41" t="str">
        <x:v>ActiveCampaign</x:v>
      </x:c>
      <x:c r="D173" s="41" t="str">
        <x:v>Identify targeted article/tutorial for ActiveCampaign with Iffah</x:v>
      </x:c>
      <x:c r="E173" s="41" t="str">
        <x:v>Not Started</x:v>
      </x:c>
      <x:c r="F173" s="41" t="str">
        <x:v>Me</x:v>
      </x:c>
      <x:c r="G173" s="41" t="str">
        <x:v>Prioritize content with clear product CTA</x:v>
      </x:c>
    </x:row>
    <x:row r="174" ht="15.75" customHeight="1">
      <x:c r="A174" s="41" t="str">
        <x:v>W11</x:v>
      </x:c>
      <x:c r="B174" s="41" t="str">
        <x:f>IFERROR(INDEX(Lists!$B$2:$B$14,MATCH(A174,Lists!$A$2:$A$14,0)),"")</x:f>
        <x:v>13 Sep – 19 Sep 2026</x:v>
      </x:c>
      <x:c r="C174" s="41" t="str">
        <x:v>ActiveCampaign</x:v>
      </x:c>
      <x:c r="D174" s="41" t="str">
        <x:v>Prepare title, short summary, CTA, and product links</x:v>
      </x:c>
      <x:c r="E174" s="41" t="str">
        <x:v>Not Started</x:v>
      </x:c>
      <x:c r="F174" s="41" t="str">
        <x:v>Me</x:v>
      </x:c>
      <x:c r="G174" s="41" t="str">
        <x:v>Add details into ActiveCampaign Queue</x:v>
      </x:c>
    </x:row>
    <x:row r="175" ht="15.75" customHeight="1">
      <x:c r="A175" s="41" t="str">
        <x:v>W11</x:v>
      </x:c>
      <x:c r="B175" s="41" t="str">
        <x:f>IFERROR(INDEX(Lists!$B$2:$B$14,MATCH(A175,Lists!$A$2:$A$14,0)),"")</x:f>
        <x:v>13 Sep – 19 Sep 2026</x:v>
      </x:c>
      <x:c r="C175" s="41" t="str">
        <x:v>ActiveCampaign</x:v>
      </x:c>
      <x:c r="D175" s="41" t="str">
        <x:v>Confirm ActiveCampaign inclusion status with Iffah</x:v>
      </x:c>
      <x:c r="E175" s="41" t="str">
        <x:v>Not Started</x:v>
      </x:c>
      <x:c r="F175" s="41" t="str">
        <x:v>Iffah</x:v>
      </x:c>
      <x:c r="G175" s="41" t="str">
        <x:v>Update AC Status in Content Tracker</x:v>
      </x:c>
    </x:row>
    <x:row r="176" ht="15.75" customHeight="1">
      <x:c r="A176" s="41" t="str">
        <x:v>W11</x:v>
      </x:c>
      <x:c r="B176" s="41" t="str">
        <x:f>IFERROR(INDEX(Lists!$B$2:$B$14,MATCH(A176,Lists!$A$2:$A$14,0)),"")</x:f>
        <x:v>13 Sep – 19 Sep 2026</x:v>
      </x:c>
      <x:c r="C176" s="41" t="str">
        <x:v>Tracking</x:v>
      </x:c>
      <x:c r="D176" s="41" t="str">
        <x:v>Update Content Tracker with URL, YouTube link, AC status, and views/clicks</x:v>
      </x:c>
      <x:c r="E176" s="41" t="str">
        <x:v>Not Started</x:v>
      </x:c>
      <x:c r="F176" s="41" t="str">
        <x:v>Me</x:v>
      </x:c>
      <x:c r="G176" s="41" t="str">
        <x:v>Record baseline where available</x:v>
      </x:c>
    </x:row>
    <x:row r="177" ht="15.75" customHeight="1">
      <x:c r="A177" s="41" t="str">
        <x:v>W11</x:v>
      </x:c>
      <x:c r="B177" s="41" t="str">
        <x:f>IFERROR(INDEX(Lists!$B$2:$B$14,MATCH(A177,Lists!$A$2:$A$14,0)),"")</x:f>
        <x:v>13 Sep – 19 Sep 2026</x:v>
      </x:c>
      <x:c r="C177" s="41" t="str">
        <x:v>Weekly Review</x:v>
      </x:c>
      <x:c r="D177" s="41" t="str">
        <x:v>Review completed content, delayed items, blockers, and next week follow-up</x:v>
      </x:c>
      <x:c r="E177" s="41" t="str">
        <x:v>Not Started</x:v>
      </x:c>
      <x:c r="F177" s="41" t="str">
        <x:v>Me</x:v>
      </x:c>
      <x:c r="G177" s="41" t="str">
        <x:v>Use notes for blockers and carry-forward tasks</x:v>
      </x:c>
    </x:row>
    <x:row r="178" ht="15.75" customHeight="1">
      <x:c r="A178" s="41" t="str">
        <x:v>W12</x:v>
      </x:c>
      <x:c r="B178" s="41" t="str">
        <x:f>IFERROR(INDEX(Lists!$B$2:$B$14,MATCH(A178,Lists!$A$2:$A$14,0)),"")</x:f>
        <x:v>20 Sep – 26 Sep 2026</x:v>
      </x:c>
      <x:c r="C178" s="41" t="str">
        <x:v>Planning</x:v>
      </x:c>
      <x:c r="D178" s="41" t="str">
        <x:v>Review planned content titles from Content Tracker</x:v>
      </x:c>
      <x:c r="E178" s="41" t="str">
        <x:v>Not Started</x:v>
      </x:c>
      <x:c r="F178" s="41" t="str">
        <x:v>Me</x:v>
      </x:c>
      <x:c r="G178" s="41" t="str">
        <x:v>No title planned yet in Content Tracker</x:v>
      </x:c>
    </x:row>
    <x:row r="179" ht="15.75" customHeight="1">
      <x:c r="A179" s="41" t="str">
        <x:v>W12</x:v>
      </x:c>
      <x:c r="B179" s="41" t="str">
        <x:f>IFERROR(INDEX(Lists!$B$2:$B$14,MATCH(A179,Lists!$A$2:$A$14,0)),"")</x:f>
        <x:v>20 Sep – 26 Sep 2026</x:v>
      </x:c>
      <x:c r="C179" s="41" t="str">
        <x:v>Planning</x:v>
      </x:c>
      <x:c r="D179" s="41" t="str">
        <x:v>Confirm 2–3 industrial tutorial/article topics for the week</x:v>
      </x:c>
      <x:c r="E179" s="41" t="str">
        <x:v>Not Started</x:v>
      </x:c>
      <x:c r="F179" s="41" t="str">
        <x:v>Me</x:v>
      </x:c>
      <x:c r="G179" s="41" t="str">
        <x:v>Target: minimum 2, ideal 3 pieces</x:v>
      </x:c>
    </x:row>
    <x:row r="180" ht="15.75" customHeight="1">
      <x:c r="A180" s="41" t="str">
        <x:v>W12</x:v>
      </x:c>
      <x:c r="B180" s="41" t="str">
        <x:f>IFERROR(INDEX(Lists!$B$2:$B$14,MATCH(A180,Lists!$A$2:$A$14,0)),"")</x:f>
        <x:v>20 Sep – 26 Sep 2026</x:v>
      </x:c>
      <x:c r="C180" s="41" t="str">
        <x:v>Video Integration</x:v>
      </x:c>
      <x:c r="D180" s="41" t="str">
        <x:v>Check Solehin TikTok video list from Google Drive</x:v>
      </x:c>
      <x:c r="E180" s="41" t="str">
        <x:v>Not Started</x:v>
      </x:c>
      <x:c r="F180" s="41" t="str">
        <x:v>Me</x:v>
      </x:c>
      <x:c r="G180" s="41" t="str">
        <x:v>Match suitable videos with planned articles</x:v>
      </x:c>
    </x:row>
    <x:row r="181" ht="15.75" customHeight="1">
      <x:c r="A181" s="41" t="str">
        <x:v>W12</x:v>
      </x:c>
      <x:c r="B181" s="41" t="str">
        <x:f>IFERROR(INDEX(Lists!$B$2:$B$14,MATCH(A181,Lists!$A$2:$A$14,0)),"")</x:f>
        <x:v>20 Sep – 26 Sep 2026</x:v>
      </x:c>
      <x:c r="C181" s="41" t="str">
        <x:v>Drafting</x:v>
      </x:c>
      <x:c r="D181" s="41" t="str">
        <x:v>Draft 1st article/tutorial</x:v>
      </x:c>
      <x:c r="E181" s="41" t="str">
        <x:v>Not Started</x:v>
      </x:c>
      <x:c r="F181" s="41" t="str">
        <x:v>Me</x:v>
      </x:c>
      <x:c r="G181" s="41" t="str">
        <x:v>Focus on industrial tutorial/article pipeline</x:v>
      </x:c>
    </x:row>
    <x:row r="182" ht="15.75" customHeight="1">
      <x:c r="A182" s="41" t="str">
        <x:v>W12</x:v>
      </x:c>
      <x:c r="B182" s="41" t="str">
        <x:f>IFERROR(INDEX(Lists!$B$2:$B$14,MATCH(A182,Lists!$A$2:$A$14,0)),"")</x:f>
        <x:v>20 Sep – 26 Sep 2026</x:v>
      </x:c>
      <x:c r="C182" s="41" t="str">
        <x:v>YouTube</x:v>
      </x:c>
      <x:c r="D182" s="41" t="str">
        <x:v>Upload or prepare 1st YouTube video</x:v>
      </x:c>
      <x:c r="E182" s="41" t="str">
        <x:v>Not Started</x:v>
      </x:c>
      <x:c r="F182" s="41" t="str">
        <x:v>Me</x:v>
      </x:c>
      <x:c r="G182" s="41" t="str">
        <x:v>Use related Solehin video if available</x:v>
      </x:c>
    </x:row>
    <x:row r="183" ht="15.75" customHeight="1">
      <x:c r="A183" s="41" t="str">
        <x:v>W12</x:v>
      </x:c>
      <x:c r="B183" s="41" t="str">
        <x:f>IFERROR(INDEX(Lists!$B$2:$B$14,MATCH(A183,Lists!$A$2:$A$14,0)),"")</x:f>
        <x:v>20 Sep – 26 Sep 2026</x:v>
      </x:c>
      <x:c r="C183" s="41" t="str">
        <x:v>Publishing</x:v>
      </x:c>
      <x:c r="D183" s="41" t="str">
        <x:v>Publish or prepare 1st article/tutorial</x:v>
      </x:c>
      <x:c r="E183" s="41" t="str">
        <x:v>Not Started</x:v>
      </x:c>
      <x:c r="F183" s="41" t="str">
        <x:v>Me</x:v>
      </x:c>
      <x:c r="G183" s="41" t="str">
        <x:v>Update URL in Content Tracker after publish</x:v>
      </x:c>
    </x:row>
    <x:row r="184" ht="15.75" customHeight="1">
      <x:c r="A184" s="41" t="str">
        <x:v>W12</x:v>
      </x:c>
      <x:c r="B184" s="41" t="str">
        <x:f>IFERROR(INDEX(Lists!$B$2:$B$14,MATCH(A184,Lists!$A$2:$A$14,0)),"")</x:f>
        <x:v>20 Sep – 26 Sep 2026</x:v>
      </x:c>
      <x:c r="C184" s="41" t="str">
        <x:v>Video Integration</x:v>
      </x:c>
      <x:c r="D184" s="41" t="str">
        <x:v>Check/confirm 2nd suitable Solehin video</x:v>
      </x:c>
      <x:c r="E184" s="41" t="str">
        <x:v>Not Started</x:v>
      </x:c>
      <x:c r="F184" s="41" t="str">
        <x:v>Me</x:v>
      </x:c>
      <x:c r="G184" s="41" t="str">
        <x:v>Use if the week has a matching video</x:v>
      </x:c>
    </x:row>
    <x:row r="185" ht="15.75" customHeight="1">
      <x:c r="A185" s="41" t="str">
        <x:v>W12</x:v>
      </x:c>
      <x:c r="B185" s="41" t="str">
        <x:f>IFERROR(INDEX(Lists!$B$2:$B$14,MATCH(A185,Lists!$A$2:$A$14,0)),"")</x:f>
        <x:v>20 Sep – 26 Sep 2026</x:v>
      </x:c>
      <x:c r="C185" s="41" t="str">
        <x:v>Drafting</x:v>
      </x:c>
      <x:c r="D185" s="41" t="str">
        <x:v>Draft 2nd article/tutorial</x:v>
      </x:c>
      <x:c r="E185" s="41" t="str">
        <x:v>Not Started</x:v>
      </x:c>
      <x:c r="F185" s="41" t="str">
        <x:v>Me</x:v>
      </x:c>
      <x:c r="G185" s="41" t="str">
        <x:v>Focus on industrial tutorial/article pipeline</x:v>
      </x:c>
    </x:row>
    <x:row r="186" ht="15.75" customHeight="1">
      <x:c r="A186" s="41" t="str">
        <x:v>W12</x:v>
      </x:c>
      <x:c r="B186" s="41" t="str">
        <x:f>IFERROR(INDEX(Lists!$B$2:$B$14,MATCH(A186,Lists!$A$2:$A$14,0)),"")</x:f>
        <x:v>20 Sep – 26 Sep 2026</x:v>
      </x:c>
      <x:c r="C186" s="41" t="str">
        <x:v>YouTube</x:v>
      </x:c>
      <x:c r="D186" s="41" t="str">
        <x:v>Upload or prepare 2nd YouTube video</x:v>
      </x:c>
      <x:c r="E186" s="41" t="str">
        <x:v>Not Started</x:v>
      </x:c>
      <x:c r="F186" s="41" t="str">
        <x:v>Me</x:v>
      </x:c>
      <x:c r="G186" s="41" t="str">
        <x:v>Use related Solehin video if available</x:v>
      </x:c>
    </x:row>
    <x:row r="187" ht="15.75" customHeight="1">
      <x:c r="A187" s="41" t="str">
        <x:v>W12</x:v>
      </x:c>
      <x:c r="B187" s="41" t="str">
        <x:f>IFERROR(INDEX(Lists!$B$2:$B$14,MATCH(A187,Lists!$A$2:$A$14,0)),"")</x:f>
        <x:v>20 Sep – 26 Sep 2026</x:v>
      </x:c>
      <x:c r="C187" s="41" t="str">
        <x:v>Publishing</x:v>
      </x:c>
      <x:c r="D187" s="41" t="str">
        <x:v>Publish or prepare 2nd article/tutorial</x:v>
      </x:c>
      <x:c r="E187" s="41" t="str">
        <x:v>Not Started</x:v>
      </x:c>
      <x:c r="F187" s="41" t="str">
        <x:v>Me</x:v>
      </x:c>
      <x:c r="G187" s="41" t="str">
        <x:v>Update URL in Content Tracker after publish</x:v>
      </x:c>
    </x:row>
    <x:row r="188" ht="15.75" customHeight="1">
      <x:c r="A188" s="41" t="str">
        <x:v>W12</x:v>
      </x:c>
      <x:c r="B188" s="41" t="str">
        <x:f>IFERROR(INDEX(Lists!$B$2:$B$14,MATCH(A188,Lists!$A$2:$A$14,0)),"")</x:f>
        <x:v>20 Sep – 26 Sep 2026</x:v>
      </x:c>
      <x:c r="C188" s="41" t="str">
        <x:v>Optional Content</x:v>
      </x:c>
      <x:c r="D188" s="41" t="str">
        <x:v>Draft or publish 3rd article/tutorial if available</x:v>
      </x:c>
      <x:c r="E188" s="41" t="str">
        <x:v>Not Started</x:v>
      </x:c>
      <x:c r="F188" s="41" t="str">
        <x:v>Me</x:v>
      </x:c>
      <x:c r="G188" s="41" t="str">
        <x:v>Use alternating cadence if needed: draft in week 1, publish in week 2</x:v>
      </x:c>
    </x:row>
    <x:row r="189" ht="15.75" customHeight="1">
      <x:c r="A189" s="41" t="str">
        <x:v>W12</x:v>
      </x:c>
      <x:c r="B189" s="41" t="str">
        <x:f>IFERROR(INDEX(Lists!$B$2:$B$14,MATCH(A189,Lists!$A$2:$A$14,0)),"")</x:f>
        <x:v>20 Sep – 26 Sep 2026</x:v>
      </x:c>
      <x:c r="C189" s="41" t="str">
        <x:v>ActiveCampaign</x:v>
      </x:c>
      <x:c r="D189" s="41" t="str">
        <x:v>Identify targeted article/tutorial for ActiveCampaign with Iffah</x:v>
      </x:c>
      <x:c r="E189" s="41" t="str">
        <x:v>Not Started</x:v>
      </x:c>
      <x:c r="F189" s="41" t="str">
        <x:v>Me</x:v>
      </x:c>
      <x:c r="G189" s="41" t="str">
        <x:v>Prioritize content with clear product CTA</x:v>
      </x:c>
    </x:row>
    <x:row r="190" ht="15.75" customHeight="1">
      <x:c r="A190" s="41" t="str">
        <x:v>W12</x:v>
      </x:c>
      <x:c r="B190" s="41" t="str">
        <x:f>IFERROR(INDEX(Lists!$B$2:$B$14,MATCH(A190,Lists!$A$2:$A$14,0)),"")</x:f>
        <x:v>20 Sep – 26 Sep 2026</x:v>
      </x:c>
      <x:c r="C190" s="41" t="str">
        <x:v>ActiveCampaign</x:v>
      </x:c>
      <x:c r="D190" s="41" t="str">
        <x:v>Prepare title, short summary, CTA, and product links</x:v>
      </x:c>
      <x:c r="E190" s="41" t="str">
        <x:v>Not Started</x:v>
      </x:c>
      <x:c r="F190" s="41" t="str">
        <x:v>Me</x:v>
      </x:c>
      <x:c r="G190" s="41" t="str">
        <x:v>Add details into ActiveCampaign Queue</x:v>
      </x:c>
    </x:row>
    <x:row r="191" ht="15.75" customHeight="1">
      <x:c r="A191" s="41" t="str">
        <x:v>W12</x:v>
      </x:c>
      <x:c r="B191" s="41" t="str">
        <x:f>IFERROR(INDEX(Lists!$B$2:$B$14,MATCH(A191,Lists!$A$2:$A$14,0)),"")</x:f>
        <x:v>20 Sep – 26 Sep 2026</x:v>
      </x:c>
      <x:c r="C191" s="41" t="str">
        <x:v>ActiveCampaign</x:v>
      </x:c>
      <x:c r="D191" s="41" t="str">
        <x:v>Confirm ActiveCampaign inclusion status with Iffah</x:v>
      </x:c>
      <x:c r="E191" s="41" t="str">
        <x:v>Not Started</x:v>
      </x:c>
      <x:c r="F191" s="41" t="str">
        <x:v>Iffah</x:v>
      </x:c>
      <x:c r="G191" s="41" t="str">
        <x:v>Update AC Status in Content Tracker</x:v>
      </x:c>
    </x:row>
    <x:row r="192" ht="15.75" customHeight="1">
      <x:c r="A192" s="41" t="str">
        <x:v>W12</x:v>
      </x:c>
      <x:c r="B192" s="41" t="str">
        <x:f>IFERROR(INDEX(Lists!$B$2:$B$14,MATCH(A192,Lists!$A$2:$A$14,0)),"")</x:f>
        <x:v>20 Sep – 26 Sep 2026</x:v>
      </x:c>
      <x:c r="C192" s="41" t="str">
        <x:v>Tracking</x:v>
      </x:c>
      <x:c r="D192" s="41" t="str">
        <x:v>Update Content Tracker with URL, YouTube link, AC status, and views/clicks</x:v>
      </x:c>
      <x:c r="E192" s="41" t="str">
        <x:v>Not Started</x:v>
      </x:c>
      <x:c r="F192" s="41" t="str">
        <x:v>Me</x:v>
      </x:c>
      <x:c r="G192" s="41" t="str">
        <x:v>Record baseline where available</x:v>
      </x:c>
    </x:row>
    <x:row r="193" ht="15.75" customHeight="1">
      <x:c r="A193" s="41" t="str">
        <x:v>W12</x:v>
      </x:c>
      <x:c r="B193" s="41" t="str">
        <x:f>IFERROR(INDEX(Lists!$B$2:$B$14,MATCH(A193,Lists!$A$2:$A$14,0)),"")</x:f>
        <x:v>20 Sep – 26 Sep 2026</x:v>
      </x:c>
      <x:c r="C193" s="41" t="str">
        <x:v>Weekly Review</x:v>
      </x:c>
      <x:c r="D193" s="41" t="str">
        <x:v>Review completed content, delayed items, blockers, and next week follow-up</x:v>
      </x:c>
      <x:c r="E193" s="41" t="str">
        <x:v>Not Started</x:v>
      </x:c>
      <x:c r="F193" s="41" t="str">
        <x:v>Me</x:v>
      </x:c>
      <x:c r="G193" s="41" t="str">
        <x:v>Use notes for blockers and carry-forward tasks</x:v>
      </x:c>
    </x:row>
    <x:row r="194" ht="15.75" customHeight="1">
      <x:c r="A194" s="41" t="str">
        <x:v>W13</x:v>
      </x:c>
      <x:c r="B194" s="41" t="str">
        <x:f>IFERROR(INDEX(Lists!$B$2:$B$14,MATCH(A194,Lists!$A$2:$A$14,0)),"")</x:f>
        <x:v>27 Sep – 03 Oct 2026</x:v>
      </x:c>
      <x:c r="C194" s="41" t="str">
        <x:v>Planning</x:v>
      </x:c>
      <x:c r="D194" s="41" t="str">
        <x:v>Review planned content titles from Content Tracker</x:v>
      </x:c>
      <x:c r="E194" s="41" t="str">
        <x:v>Not Started</x:v>
      </x:c>
      <x:c r="F194" s="41" t="str">
        <x:v>Me</x:v>
      </x:c>
      <x:c r="G194" s="41" t="str">
        <x:v>No title planned yet in Content Tracker</x:v>
      </x:c>
    </x:row>
    <x:row r="195" ht="15.75" customHeight="1">
      <x:c r="A195" s="41" t="str">
        <x:v>W13</x:v>
      </x:c>
      <x:c r="B195" s="41" t="str">
        <x:f>IFERROR(INDEX(Lists!$B$2:$B$14,MATCH(A195,Lists!$A$2:$A$14,0)),"")</x:f>
        <x:v>27 Sep – 03 Oct 2026</x:v>
      </x:c>
      <x:c r="C195" s="41" t="str">
        <x:v>Planning</x:v>
      </x:c>
      <x:c r="D195" s="41" t="str">
        <x:v>Confirm 2–3 industrial tutorial/article topics for the week</x:v>
      </x:c>
      <x:c r="E195" s="41" t="str">
        <x:v>Not Started</x:v>
      </x:c>
      <x:c r="F195" s="41" t="str">
        <x:v>Me</x:v>
      </x:c>
      <x:c r="G195" s="41" t="str">
        <x:v>Target: minimum 2, ideal 3 pieces</x:v>
      </x:c>
    </x:row>
    <x:row r="196" ht="15.75" customHeight="1">
      <x:c r="A196" s="41" t="str">
        <x:v>W13</x:v>
      </x:c>
      <x:c r="B196" s="41" t="str">
        <x:f>IFERROR(INDEX(Lists!$B$2:$B$14,MATCH(A196,Lists!$A$2:$A$14,0)),"")</x:f>
        <x:v>27 Sep – 03 Oct 2026</x:v>
      </x:c>
      <x:c r="C196" s="41" t="str">
        <x:v>Video Integration</x:v>
      </x:c>
      <x:c r="D196" s="41" t="str">
        <x:v>Check Solehin TikTok video list from Google Drive</x:v>
      </x:c>
      <x:c r="E196" s="41" t="str">
        <x:v>Not Started</x:v>
      </x:c>
      <x:c r="F196" s="41" t="str">
        <x:v>Me</x:v>
      </x:c>
      <x:c r="G196" s="41" t="str">
        <x:v>Match suitable videos with planned articles</x:v>
      </x:c>
    </x:row>
    <x:row r="197" ht="15.75" customHeight="1">
      <x:c r="A197" s="41" t="str">
        <x:v>W13</x:v>
      </x:c>
      <x:c r="B197" s="41" t="str">
        <x:f>IFERROR(INDEX(Lists!$B$2:$B$14,MATCH(A197,Lists!$A$2:$A$14,0)),"")</x:f>
        <x:v>27 Sep – 03 Oct 2026</x:v>
      </x:c>
      <x:c r="C197" s="41" t="str">
        <x:v>Drafting</x:v>
      </x:c>
      <x:c r="D197" s="41" t="str">
        <x:v>Draft 1st article/tutorial</x:v>
      </x:c>
      <x:c r="E197" s="41" t="str">
        <x:v>Not Started</x:v>
      </x:c>
      <x:c r="F197" s="41" t="str">
        <x:v>Me</x:v>
      </x:c>
      <x:c r="G197" s="41" t="str">
        <x:v>Focus on industrial tutorial/article pipeline</x:v>
      </x:c>
    </x:row>
    <x:row r="198" ht="15.75" customHeight="1">
      <x:c r="A198" s="41" t="str">
        <x:v>W13</x:v>
      </x:c>
      <x:c r="B198" s="41" t="str">
        <x:f>IFERROR(INDEX(Lists!$B$2:$B$14,MATCH(A198,Lists!$A$2:$A$14,0)),"")</x:f>
        <x:v>27 Sep – 03 Oct 2026</x:v>
      </x:c>
      <x:c r="C198" s="41" t="str">
        <x:v>YouTube</x:v>
      </x:c>
      <x:c r="D198" s="41" t="str">
        <x:v>Upload or prepare 1st YouTube video</x:v>
      </x:c>
      <x:c r="E198" s="41" t="str">
        <x:v>Not Started</x:v>
      </x:c>
      <x:c r="F198" s="41" t="str">
        <x:v>Me</x:v>
      </x:c>
      <x:c r="G198" s="41" t="str">
        <x:v>Use related Solehin video if available</x:v>
      </x:c>
    </x:row>
    <x:row r="199" ht="15.75" customHeight="1">
      <x:c r="A199" s="41" t="str">
        <x:v>W13</x:v>
      </x:c>
      <x:c r="B199" s="41" t="str">
        <x:f>IFERROR(INDEX(Lists!$B$2:$B$14,MATCH(A199,Lists!$A$2:$A$14,0)),"")</x:f>
        <x:v>27 Sep – 03 Oct 2026</x:v>
      </x:c>
      <x:c r="C199" s="41" t="str">
        <x:v>Publishing</x:v>
      </x:c>
      <x:c r="D199" s="41" t="str">
        <x:v>Publish or prepare 1st article/tutorial</x:v>
      </x:c>
      <x:c r="E199" s="41" t="str">
        <x:v>Not Started</x:v>
      </x:c>
      <x:c r="F199" s="41" t="str">
        <x:v>Me</x:v>
      </x:c>
      <x:c r="G199" s="41" t="str">
        <x:v>Update URL in Content Tracker after publish</x:v>
      </x:c>
    </x:row>
    <x:row r="200" ht="15.75" customHeight="1">
      <x:c r="A200" s="41" t="str">
        <x:v>W13</x:v>
      </x:c>
      <x:c r="B200" s="41" t="str">
        <x:f>IFERROR(INDEX(Lists!$B$2:$B$14,MATCH(A200,Lists!$A$2:$A$14,0)),"")</x:f>
        <x:v>27 Sep – 03 Oct 2026</x:v>
      </x:c>
      <x:c r="C200" s="41" t="str">
        <x:v>Video Integration</x:v>
      </x:c>
      <x:c r="D200" s="41" t="str">
        <x:v>Check/confirm 2nd suitable Solehin video</x:v>
      </x:c>
      <x:c r="E200" s="41" t="str">
        <x:v>Not Started</x:v>
      </x:c>
      <x:c r="F200" s="41" t="str">
        <x:v>Me</x:v>
      </x:c>
      <x:c r="G200" s="41" t="str">
        <x:v>Use if the week has a matching video</x:v>
      </x:c>
    </x:row>
    <x:row r="201" ht="15.75" customHeight="1">
      <x:c r="A201" s="41" t="str">
        <x:v>W13</x:v>
      </x:c>
      <x:c r="B201" s="41" t="str">
        <x:f>IFERROR(INDEX(Lists!$B$2:$B$14,MATCH(A201,Lists!$A$2:$A$14,0)),"")</x:f>
        <x:v>27 Sep – 03 Oct 2026</x:v>
      </x:c>
      <x:c r="C201" s="41" t="str">
        <x:v>Drafting</x:v>
      </x:c>
      <x:c r="D201" s="41" t="str">
        <x:v>Draft 2nd article/tutorial</x:v>
      </x:c>
      <x:c r="E201" s="41" t="str">
        <x:v>Not Started</x:v>
      </x:c>
      <x:c r="F201" s="41" t="str">
        <x:v>Me</x:v>
      </x:c>
      <x:c r="G201" s="41" t="str">
        <x:v>Focus on industrial tutorial/article pipeline</x:v>
      </x:c>
    </x:row>
    <x:row r="202" ht="15.75" customHeight="1">
      <x:c r="A202" s="41" t="str">
        <x:v>W13</x:v>
      </x:c>
      <x:c r="B202" s="41" t="str">
        <x:f>IFERROR(INDEX(Lists!$B$2:$B$14,MATCH(A202,Lists!$A$2:$A$14,0)),"")</x:f>
        <x:v>27 Sep – 03 Oct 2026</x:v>
      </x:c>
      <x:c r="C202" s="41" t="str">
        <x:v>YouTube</x:v>
      </x:c>
      <x:c r="D202" s="41" t="str">
        <x:v>Upload or prepare 2nd YouTube video</x:v>
      </x:c>
      <x:c r="E202" s="41" t="str">
        <x:v>Not Started</x:v>
      </x:c>
      <x:c r="F202" s="41" t="str">
        <x:v>Me</x:v>
      </x:c>
      <x:c r="G202" s="41" t="str">
        <x:v>Use related Solehin video if available</x:v>
      </x:c>
    </x:row>
    <x:row r="203" ht="15.75" customHeight="1">
      <x:c r="A203" s="41" t="str">
        <x:v>W13</x:v>
      </x:c>
      <x:c r="B203" s="41" t="str">
        <x:f>IFERROR(INDEX(Lists!$B$2:$B$14,MATCH(A203,Lists!$A$2:$A$14,0)),"")</x:f>
        <x:v>27 Sep – 03 Oct 2026</x:v>
      </x:c>
      <x:c r="C203" s="41" t="str">
        <x:v>Publishing</x:v>
      </x:c>
      <x:c r="D203" s="41" t="str">
        <x:v>Publish or prepare 2nd article/tutorial</x:v>
      </x:c>
      <x:c r="E203" s="41" t="str">
        <x:v>Not Started</x:v>
      </x:c>
      <x:c r="F203" s="41" t="str">
        <x:v>Me</x:v>
      </x:c>
      <x:c r="G203" s="41" t="str">
        <x:v>Update URL in Content Tracker after publish</x:v>
      </x:c>
    </x:row>
    <x:row r="204" ht="15.75" customHeight="1">
      <x:c r="A204" s="41" t="str">
        <x:v>W13</x:v>
      </x:c>
      <x:c r="B204" s="41" t="str">
        <x:f>IFERROR(INDEX(Lists!$B$2:$B$14,MATCH(A204,Lists!$A$2:$A$14,0)),"")</x:f>
        <x:v>27 Sep – 03 Oct 2026</x:v>
      </x:c>
      <x:c r="C204" s="41" t="str">
        <x:v>Optional Content</x:v>
      </x:c>
      <x:c r="D204" s="41" t="str">
        <x:v>Draft or publish 3rd article/tutorial if available</x:v>
      </x:c>
      <x:c r="E204" s="41" t="str">
        <x:v>Not Started</x:v>
      </x:c>
      <x:c r="F204" s="41" t="str">
        <x:v>Me</x:v>
      </x:c>
      <x:c r="G204" s="41" t="str">
        <x:v>Use alternating cadence if needed: draft in week 1, publish in week 2</x:v>
      </x:c>
    </x:row>
    <x:row r="205" ht="15.75" customHeight="1">
      <x:c r="A205" s="41" t="str">
        <x:v>W13</x:v>
      </x:c>
      <x:c r="B205" s="41" t="str">
        <x:f>IFERROR(INDEX(Lists!$B$2:$B$14,MATCH(A205,Lists!$A$2:$A$14,0)),"")</x:f>
        <x:v>27 Sep – 03 Oct 2026</x:v>
      </x:c>
      <x:c r="C205" s="41" t="str">
        <x:v>ActiveCampaign</x:v>
      </x:c>
      <x:c r="D205" s="41" t="str">
        <x:v>Identify targeted article/tutorial for ActiveCampaign with Iffah</x:v>
      </x:c>
      <x:c r="E205" s="41" t="str">
        <x:v>Not Started</x:v>
      </x:c>
      <x:c r="F205" s="41" t="str">
        <x:v>Me</x:v>
      </x:c>
      <x:c r="G205" s="41" t="str">
        <x:v>Prioritize content with clear product CTA</x:v>
      </x:c>
    </x:row>
    <x:row r="206" ht="15.75" customHeight="1">
      <x:c r="A206" s="41" t="str">
        <x:v>W13</x:v>
      </x:c>
      <x:c r="B206" s="41" t="str">
        <x:f>IFERROR(INDEX(Lists!$B$2:$B$14,MATCH(A206,Lists!$A$2:$A$14,0)),"")</x:f>
        <x:v>27 Sep – 03 Oct 2026</x:v>
      </x:c>
      <x:c r="C206" s="41" t="str">
        <x:v>ActiveCampaign</x:v>
      </x:c>
      <x:c r="D206" s="41" t="str">
        <x:v>Prepare title, short summary, CTA, and product links</x:v>
      </x:c>
      <x:c r="E206" s="41" t="str">
        <x:v>Not Started</x:v>
      </x:c>
      <x:c r="F206" s="41" t="str">
        <x:v>Me</x:v>
      </x:c>
      <x:c r="G206" s="41" t="str">
        <x:v>Add details into ActiveCampaign Queue</x:v>
      </x:c>
    </x:row>
    <x:row r="207" ht="15.75" customHeight="1">
      <x:c r="A207" s="41" t="str">
        <x:v>W13</x:v>
      </x:c>
      <x:c r="B207" s="41" t="str">
        <x:f>IFERROR(INDEX(Lists!$B$2:$B$14,MATCH(A207,Lists!$A$2:$A$14,0)),"")</x:f>
        <x:v>27 Sep – 03 Oct 2026</x:v>
      </x:c>
      <x:c r="C207" s="41" t="str">
        <x:v>ActiveCampaign</x:v>
      </x:c>
      <x:c r="D207" s="41" t="str">
        <x:v>Confirm ActiveCampaign inclusion status with Iffah</x:v>
      </x:c>
      <x:c r="E207" s="41" t="str">
        <x:v>Not Started</x:v>
      </x:c>
      <x:c r="F207" s="41" t="str">
        <x:v>Iffah</x:v>
      </x:c>
      <x:c r="G207" s="41" t="str">
        <x:v>Update AC Status in Content Tracker</x:v>
      </x:c>
    </x:row>
    <x:row r="208" ht="15.75" customHeight="1">
      <x:c r="A208" s="41" t="str">
        <x:v>W13</x:v>
      </x:c>
      <x:c r="B208" s="41" t="str">
        <x:f>IFERROR(INDEX(Lists!$B$2:$B$14,MATCH(A208,Lists!$A$2:$A$14,0)),"")</x:f>
        <x:v>27 Sep – 03 Oct 2026</x:v>
      </x:c>
      <x:c r="C208" s="41" t="str">
        <x:v>Tracking</x:v>
      </x:c>
      <x:c r="D208" s="41" t="str">
        <x:v>Update Content Tracker with URL, YouTube link, AC status, and views/clicks</x:v>
      </x:c>
      <x:c r="E208" s="41" t="str">
        <x:v>Not Started</x:v>
      </x:c>
      <x:c r="F208" s="41" t="str">
        <x:v>Me</x:v>
      </x:c>
      <x:c r="G208" s="41" t="str">
        <x:v>Record baseline where available</x:v>
      </x:c>
    </x:row>
    <x:row r="209" ht="15.75" customHeight="1">
      <x:c r="A209" s="41" t="str">
        <x:v>W13</x:v>
      </x:c>
      <x:c r="B209" s="41" t="str">
        <x:f>IFERROR(INDEX(Lists!$B$2:$B$14,MATCH(A209,Lists!$A$2:$A$14,0)),"")</x:f>
        <x:v>27 Sep – 03 Oct 2026</x:v>
      </x:c>
      <x:c r="C209" s="41" t="str">
        <x:v>Weekly Review</x:v>
      </x:c>
      <x:c r="D209" s="41" t="str">
        <x:v>Review completed content, delayed items, blockers, and next week follow-up</x:v>
      </x:c>
      <x:c r="E209" s="41" t="str">
        <x:v>Not Started</x:v>
      </x:c>
      <x:c r="F209" s="41" t="str">
        <x:v>Me</x:v>
      </x:c>
      <x:c r="G209" s="41" t="str">
        <x:v>Use notes for blockers and carry-forward tasks</x:v>
      </x:c>
    </x:row>
    <x:row r="210" ht="15.75" customHeight="1">
      <x:c r="A210" s="17"/>
      <x:c r="B210" s="17"/>
      <x:c r="C210" s="17"/>
      <x:c r="D210" s="17"/>
      <x:c r="E210" s="17"/>
      <x:c r="F210" s="17"/>
      <x:c r="G210" s="17"/>
    </x:row>
    <x:row r="211" ht="15.75" customHeight="1">
      <x:c r="A211" s="17"/>
      <x:c r="B211" s="17"/>
      <x:c r="C211" s="17"/>
      <x:c r="D211" s="17"/>
      <x:c r="E211" s="17"/>
      <x:c r="F211" s="17"/>
      <x:c r="G211" s="17"/>
    </x:row>
    <x:row r="212" ht="15.75" customHeight="1">
      <x:c r="A212" s="17"/>
      <x:c r="B212" s="17"/>
      <x:c r="C212" s="17"/>
      <x:c r="D212" s="17"/>
      <x:c r="E212" s="17"/>
      <x:c r="F212" s="17"/>
      <x:c r="G212" s="17"/>
    </x:row>
    <x:row r="213" ht="15.75" customHeight="1">
      <x:c r="A213" s="17"/>
      <x:c r="B213" s="17"/>
      <x:c r="C213" s="17"/>
      <x:c r="D213" s="17"/>
      <x:c r="E213" s="17"/>
      <x:c r="F213" s="17"/>
      <x:c r="G213" s="17"/>
    </x:row>
    <x:row r="214" ht="15.75" customHeight="1">
      <x:c r="A214" s="17"/>
      <x:c r="B214" s="17"/>
      <x:c r="C214" s="17"/>
      <x:c r="D214" s="17"/>
      <x:c r="E214" s="17"/>
      <x:c r="F214" s="17"/>
      <x:c r="G214" s="17"/>
    </x:row>
    <x:row r="215" ht="15.75" customHeight="1">
      <x:c r="A215" s="17"/>
      <x:c r="B215" s="17"/>
      <x:c r="C215" s="17"/>
      <x:c r="D215" s="17"/>
      <x:c r="E215" s="17"/>
      <x:c r="F215" s="17"/>
      <x:c r="G215" s="17"/>
    </x:row>
    <x:row r="216" ht="15.75" customHeight="1">
      <x:c r="A216" s="17"/>
      <x:c r="B216" s="17"/>
      <x:c r="C216" s="17"/>
      <x:c r="D216" s="17"/>
      <x:c r="E216" s="17"/>
      <x:c r="F216" s="17"/>
      <x:c r="G216" s="17"/>
    </x:row>
    <x:row r="217" ht="15.75" customHeight="1">
      <x:c r="A217" s="17"/>
      <x:c r="B217" s="17"/>
      <x:c r="C217" s="17"/>
      <x:c r="D217" s="17"/>
      <x:c r="E217" s="17"/>
      <x:c r="F217" s="17"/>
      <x:c r="G217" s="17"/>
    </x:row>
    <x:row r="218" ht="15.75" customHeight="1">
      <x:c r="A218" s="17"/>
      <x:c r="B218" s="17"/>
      <x:c r="C218" s="17"/>
      <x:c r="D218" s="17"/>
      <x:c r="E218" s="17"/>
      <x:c r="F218" s="17"/>
      <x:c r="G218" s="17"/>
    </x:row>
    <x:row r="219" ht="15.75" customHeight="1">
      <x:c r="A219" s="17"/>
      <x:c r="B219" s="17"/>
      <x:c r="C219" s="17"/>
      <x:c r="D219" s="17"/>
      <x:c r="E219" s="17"/>
      <x:c r="F219" s="17"/>
      <x:c r="G219" s="17"/>
    </x:row>
    <x:row r="220" ht="15.75" customHeight="1">
      <x:c r="A220" s="17"/>
      <x:c r="B220" s="17"/>
      <x:c r="C220" s="17"/>
      <x:c r="D220" s="17"/>
      <x:c r="E220" s="17"/>
      <x:c r="F220" s="17"/>
      <x:c r="G220" s="17"/>
    </x:row>
    <x:row r="221" ht="15.75" customHeight="1">
      <x:c r="A221" s="17"/>
      <x:c r="B221" s="17"/>
      <x:c r="C221" s="17"/>
      <x:c r="D221" s="17"/>
      <x:c r="E221" s="17"/>
      <x:c r="F221" s="17"/>
      <x:c r="G221" s="17"/>
    </x:row>
    <x:row r="222" ht="15.75" customHeight="1">
      <x:c r="A222" s="17"/>
      <x:c r="B222" s="17"/>
      <x:c r="C222" s="17"/>
      <x:c r="D222" s="17"/>
      <x:c r="E222" s="17"/>
      <x:c r="F222" s="17"/>
      <x:c r="G222" s="17"/>
    </x:row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E2:E222">
    <x:cfRule type="expression" dxfId="4" priority="1">
      <x:formula>E2="Done"</x:formula>
    </x:cfRule>
  </x:conditionalFormatting>
  <x:conditionalFormatting sqref="E2:E222">
    <x:cfRule type="expression" dxfId="7" priority="2">
      <x:formula>E2="In Progress"</x:formula>
    </x:cfRule>
  </x:conditionalFormatting>
  <x:conditionalFormatting sqref="E2:E222">
    <x:cfRule type="expression" dxfId="6" priority="3">
      <x:formula>E2="Blocked"</x:formula>
    </x:cfRule>
  </x:conditionalFormatting>
  <x:dataValidations count="3">
    <x:dataValidation type="list" allowBlank="1" sqref="E2:E222">
      <x:formula1>Lists!$H$2:$H$5</x:formula1>
    </x:dataValidation>
    <x:dataValidation type="list" allowBlank="1" sqref="A2:A222">
      <x:formula1>Lists!$A$2:$A$14</x:formula1>
    </x:dataValidation>
    <x:dataValidation type="list" allowBlank="1" sqref="F2:F222">
      <x:formula1>Lists!$M$2:$M$9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48ec39810a4fd0"/>
  </x:tableParts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8" customWidth="1"/>
    <x:col min="2" max="2" width="36" customWidth="1"/>
    <x:col min="3" max="3" width="22" customWidth="1"/>
    <x:col min="4" max="4" width="20" customWidth="1"/>
    <x:col min="5" max="5" width="34" customWidth="1"/>
    <x:col min="6" max="6" width="18" customWidth="1"/>
    <x:col min="7" max="7" width="22" customWidth="1"/>
    <x:col min="8" max="8" width="14" customWidth="1"/>
    <x:col min="9" max="9" width="34" customWidth="1"/>
    <x:col min="10" max="26" width="8.630000114440918" customWidth="1"/>
  </x:cols>
  <x:sheetData>
    <x:row r="1">
      <x:c r="A1" s="16" t="s">
        <x:v>38</x:v>
      </x:c>
      <x:c r="B1" s="16" t="s">
        <x:v>100</x:v>
      </x:c>
      <x:c r="C1" s="16" t="s">
        <x:v>41</x:v>
      </x:c>
      <x:c r="D1" s="16" t="s">
        <x:v>101</x:v>
      </x:c>
      <x:c r="E1" s="16" t="s">
        <x:v>102</x:v>
      </x:c>
      <x:c r="F1" s="16" t="s">
        <x:v>103</x:v>
      </x:c>
      <x:c r="G1" s="16" t="s">
        <x:v>51</x:v>
      </x:c>
      <x:c r="H1" s="16" t="s">
        <x:v>104</x:v>
      </x:c>
      <x:c r="I1" s="16" t="s">
        <x:v>55</x:v>
      </x:c>
    </x:row>
    <x:row r="2">
      <x:c r="A2" s="17"/>
      <x:c r="B2" s="17"/>
      <x:c r="C2" s="17"/>
      <x:c r="D2" s="17"/>
      <x:c r="E2" s="17"/>
      <x:c r="F2" s="17" t="s">
        <x:v>66</x:v>
      </x:c>
      <x:c r="G2" s="17" t="s">
        <x:v>67</x:v>
      </x:c>
      <x:c r="H2" s="21"/>
      <x:c r="I2" s="17"/>
    </x:row>
    <x:row r="3">
      <x:c r="A3" s="17"/>
      <x:c r="B3" s="17"/>
      <x:c r="C3" s="17"/>
      <x:c r="D3" s="17"/>
      <x:c r="E3" s="17"/>
      <x:c r="F3" s="17" t="s">
        <x:v>66</x:v>
      </x:c>
      <x:c r="G3" s="17" t="s">
        <x:v>67</x:v>
      </x:c>
      <x:c r="H3" s="21"/>
      <x:c r="I3" s="17"/>
    </x:row>
    <x:row r="4">
      <x:c r="A4" s="17"/>
      <x:c r="B4" s="17"/>
      <x:c r="C4" s="17"/>
      <x:c r="D4" s="17"/>
      <x:c r="E4" s="17"/>
      <x:c r="F4" s="17" t="s">
        <x:v>66</x:v>
      </x:c>
      <x:c r="G4" s="17" t="s">
        <x:v>67</x:v>
      </x:c>
      <x:c r="H4" s="21"/>
      <x:c r="I4" s="17"/>
    </x:row>
    <x:row r="5">
      <x:c r="A5" s="17"/>
      <x:c r="B5" s="17"/>
      <x:c r="C5" s="17"/>
      <x:c r="D5" s="17"/>
      <x:c r="E5" s="17"/>
      <x:c r="F5" s="17" t="s">
        <x:v>66</x:v>
      </x:c>
      <x:c r="G5" s="17" t="s">
        <x:v>67</x:v>
      </x:c>
      <x:c r="H5" s="21"/>
      <x:c r="I5" s="17"/>
    </x:row>
    <x:row r="6">
      <x:c r="A6" s="17"/>
      <x:c r="B6" s="17"/>
      <x:c r="C6" s="17"/>
      <x:c r="D6" s="17"/>
      <x:c r="E6" s="17"/>
      <x:c r="F6" s="17" t="s">
        <x:v>66</x:v>
      </x:c>
      <x:c r="G6" s="17" t="s">
        <x:v>67</x:v>
      </x:c>
      <x:c r="H6" s="21"/>
      <x:c r="I6" s="17"/>
    </x:row>
    <x:row r="7">
      <x:c r="A7" s="17"/>
      <x:c r="B7" s="17"/>
      <x:c r="C7" s="17"/>
      <x:c r="D7" s="17"/>
      <x:c r="E7" s="17"/>
      <x:c r="F7" s="17" t="s">
        <x:v>66</x:v>
      </x:c>
      <x:c r="G7" s="17" t="s">
        <x:v>67</x:v>
      </x:c>
      <x:c r="H7" s="21"/>
      <x:c r="I7" s="17"/>
    </x:row>
    <x:row r="8">
      <x:c r="A8" s="17"/>
      <x:c r="B8" s="17"/>
      <x:c r="C8" s="17"/>
      <x:c r="D8" s="17"/>
      <x:c r="E8" s="17"/>
      <x:c r="F8" s="17" t="s">
        <x:v>66</x:v>
      </x:c>
      <x:c r="G8" s="17" t="s">
        <x:v>67</x:v>
      </x:c>
      <x:c r="H8" s="21"/>
      <x:c r="I8" s="17"/>
    </x:row>
    <x:row r="9">
      <x:c r="A9" s="17"/>
      <x:c r="B9" s="17"/>
      <x:c r="C9" s="17"/>
      <x:c r="D9" s="17"/>
      <x:c r="E9" s="17"/>
      <x:c r="F9" s="17" t="s">
        <x:v>66</x:v>
      </x:c>
      <x:c r="G9" s="17" t="s">
        <x:v>67</x:v>
      </x:c>
      <x:c r="H9" s="21"/>
      <x:c r="I9" s="17"/>
    </x:row>
    <x:row r="10">
      <x:c r="A10" s="17"/>
      <x:c r="B10" s="17"/>
      <x:c r="C10" s="17"/>
      <x:c r="D10" s="17"/>
      <x:c r="E10" s="17"/>
      <x:c r="F10" s="17" t="s">
        <x:v>66</x:v>
      </x:c>
      <x:c r="G10" s="17" t="s">
        <x:v>67</x:v>
      </x:c>
      <x:c r="H10" s="21"/>
      <x:c r="I10" s="17"/>
    </x:row>
    <x:row r="11">
      <x:c r="A11" s="17"/>
      <x:c r="B11" s="17"/>
      <x:c r="C11" s="17"/>
      <x:c r="D11" s="17"/>
      <x:c r="E11" s="17"/>
      <x:c r="F11" s="17" t="s">
        <x:v>66</x:v>
      </x:c>
      <x:c r="G11" s="17" t="s">
        <x:v>67</x:v>
      </x:c>
      <x:c r="H11" s="21"/>
      <x:c r="I11" s="17"/>
    </x:row>
    <x:row r="12">
      <x:c r="A12" s="17"/>
      <x:c r="B12" s="17"/>
      <x:c r="C12" s="17"/>
      <x:c r="D12" s="17"/>
      <x:c r="E12" s="17"/>
      <x:c r="F12" s="17" t="s">
        <x:v>66</x:v>
      </x:c>
      <x:c r="G12" s="17" t="s">
        <x:v>67</x:v>
      </x:c>
      <x:c r="H12" s="21"/>
      <x:c r="I12" s="17"/>
    </x:row>
    <x:row r="13">
      <x:c r="A13" s="17"/>
      <x:c r="B13" s="17"/>
      <x:c r="C13" s="17"/>
      <x:c r="D13" s="17"/>
      <x:c r="E13" s="17"/>
      <x:c r="F13" s="17" t="s">
        <x:v>66</x:v>
      </x:c>
      <x:c r="G13" s="17" t="s">
        <x:v>67</x:v>
      </x:c>
      <x:c r="H13" s="21"/>
      <x:c r="I13" s="17"/>
    </x:row>
    <x:row r="14">
      <x:c r="A14" s="17"/>
      <x:c r="B14" s="17"/>
      <x:c r="C14" s="17"/>
      <x:c r="D14" s="17"/>
      <x:c r="E14" s="17"/>
      <x:c r="F14" s="17" t="s">
        <x:v>66</x:v>
      </x:c>
      <x:c r="G14" s="17" t="s">
        <x:v>67</x:v>
      </x:c>
      <x:c r="H14" s="21"/>
      <x:c r="I14" s="17"/>
    </x:row>
    <x:row r="15">
      <x:c r="A15" s="17"/>
      <x:c r="B15" s="17"/>
      <x:c r="C15" s="17"/>
      <x:c r="D15" s="17"/>
      <x:c r="E15" s="17"/>
      <x:c r="F15" s="17" t="s">
        <x:v>66</x:v>
      </x:c>
      <x:c r="G15" s="17" t="s">
        <x:v>67</x:v>
      </x:c>
      <x:c r="H15" s="21"/>
      <x:c r="I15" s="17"/>
    </x:row>
    <x:row r="16">
      <x:c r="A16" s="17"/>
      <x:c r="B16" s="17"/>
      <x:c r="C16" s="17"/>
      <x:c r="D16" s="17"/>
      <x:c r="E16" s="17"/>
      <x:c r="F16" s="17" t="s">
        <x:v>66</x:v>
      </x:c>
      <x:c r="G16" s="17" t="s">
        <x:v>67</x:v>
      </x:c>
      <x:c r="H16" s="21"/>
      <x:c r="I16" s="17"/>
    </x:row>
    <x:row r="17">
      <x:c r="A17" s="17"/>
      <x:c r="B17" s="17"/>
      <x:c r="C17" s="17"/>
      <x:c r="D17" s="17"/>
      <x:c r="E17" s="17"/>
      <x:c r="F17" s="17" t="s">
        <x:v>66</x:v>
      </x:c>
      <x:c r="G17" s="17" t="s">
        <x:v>67</x:v>
      </x:c>
      <x:c r="H17" s="21"/>
      <x:c r="I17" s="17"/>
    </x:row>
    <x:row r="18">
      <x:c r="A18" s="17"/>
      <x:c r="B18" s="17"/>
      <x:c r="C18" s="17"/>
      <x:c r="D18" s="17"/>
      <x:c r="E18" s="17"/>
      <x:c r="F18" s="17" t="s">
        <x:v>66</x:v>
      </x:c>
      <x:c r="G18" s="17" t="s">
        <x:v>67</x:v>
      </x:c>
      <x:c r="H18" s="21"/>
      <x:c r="I18" s="17"/>
    </x:row>
    <x:row r="19">
      <x:c r="A19" s="17"/>
      <x:c r="B19" s="17"/>
      <x:c r="C19" s="17"/>
      <x:c r="D19" s="17"/>
      <x:c r="E19" s="17"/>
      <x:c r="F19" s="17" t="s">
        <x:v>66</x:v>
      </x:c>
      <x:c r="G19" s="17" t="s">
        <x:v>67</x:v>
      </x:c>
      <x:c r="H19" s="21"/>
      <x:c r="I19" s="17"/>
    </x:row>
    <x:row r="20">
      <x:c r="A20" s="17"/>
      <x:c r="B20" s="17"/>
      <x:c r="C20" s="17"/>
      <x:c r="D20" s="17"/>
      <x:c r="E20" s="17"/>
      <x:c r="F20" s="17" t="s">
        <x:v>66</x:v>
      </x:c>
      <x:c r="G20" s="17" t="s">
        <x:v>67</x:v>
      </x:c>
      <x:c r="H20" s="21"/>
      <x:c r="I20" s="17"/>
    </x:row>
    <x:row r="21" ht="15.75" customHeight="1">
      <x:c r="A21" s="17"/>
      <x:c r="B21" s="17"/>
      <x:c r="C21" s="17"/>
      <x:c r="D21" s="17"/>
      <x:c r="E21" s="17"/>
      <x:c r="F21" s="17" t="s">
        <x:v>66</x:v>
      </x:c>
      <x:c r="G21" s="17" t="s">
        <x:v>67</x:v>
      </x:c>
      <x:c r="H21" s="21"/>
      <x:c r="I21" s="17"/>
    </x:row>
    <x:row r="22" ht="15.75" customHeight="1">
      <x:c r="A22" s="17"/>
      <x:c r="B22" s="17"/>
      <x:c r="C22" s="17"/>
      <x:c r="D22" s="17"/>
      <x:c r="E22" s="17"/>
      <x:c r="F22" s="17" t="s">
        <x:v>66</x:v>
      </x:c>
      <x:c r="G22" s="17" t="s">
        <x:v>67</x:v>
      </x:c>
      <x:c r="H22" s="21"/>
      <x:c r="I22" s="17"/>
    </x:row>
    <x:row r="23" ht="15.75" customHeight="1">
      <x:c r="A23" s="17"/>
      <x:c r="B23" s="17"/>
      <x:c r="C23" s="17"/>
      <x:c r="D23" s="17"/>
      <x:c r="E23" s="17"/>
      <x:c r="F23" s="17" t="s">
        <x:v>66</x:v>
      </x:c>
      <x:c r="G23" s="17" t="s">
        <x:v>67</x:v>
      </x:c>
      <x:c r="H23" s="21"/>
      <x:c r="I23" s="17"/>
    </x:row>
    <x:row r="24" ht="15.75" customHeight="1">
      <x:c r="A24" s="17"/>
      <x:c r="B24" s="17"/>
      <x:c r="C24" s="17"/>
      <x:c r="D24" s="17"/>
      <x:c r="E24" s="17"/>
      <x:c r="F24" s="17" t="s">
        <x:v>66</x:v>
      </x:c>
      <x:c r="G24" s="17" t="s">
        <x:v>67</x:v>
      </x:c>
      <x:c r="H24" s="21"/>
      <x:c r="I24" s="17"/>
    </x:row>
    <x:row r="25" ht="15.75" customHeight="1">
      <x:c r="A25" s="17"/>
      <x:c r="B25" s="17"/>
      <x:c r="C25" s="17"/>
      <x:c r="D25" s="17"/>
      <x:c r="E25" s="17"/>
      <x:c r="F25" s="17" t="s">
        <x:v>66</x:v>
      </x:c>
      <x:c r="G25" s="17" t="s">
        <x:v>67</x:v>
      </x:c>
      <x:c r="H25" s="21"/>
      <x:c r="I25" s="17"/>
    </x:row>
    <x:row r="26" ht="15.75" customHeight="1">
      <x:c r="A26" s="17"/>
      <x:c r="B26" s="17"/>
      <x:c r="C26" s="17"/>
      <x:c r="D26" s="17"/>
      <x:c r="E26" s="17"/>
      <x:c r="F26" s="17" t="s">
        <x:v>66</x:v>
      </x:c>
      <x:c r="G26" s="17" t="s">
        <x:v>67</x:v>
      </x:c>
      <x:c r="H26" s="21"/>
      <x:c r="I26" s="17"/>
    </x:row>
    <x:row r="27" ht="15.75" customHeight="1">
      <x:c r="A27" s="17"/>
      <x:c r="B27" s="17"/>
      <x:c r="C27" s="17"/>
      <x:c r="D27" s="17"/>
      <x:c r="E27" s="17"/>
      <x:c r="F27" s="17" t="s">
        <x:v>66</x:v>
      </x:c>
      <x:c r="G27" s="17" t="s">
        <x:v>67</x:v>
      </x:c>
      <x:c r="H27" s="21"/>
      <x:c r="I27" s="17"/>
    </x:row>
    <x:row r="28" ht="15.75" customHeight="1">
      <x:c r="A28" s="17"/>
      <x:c r="B28" s="17"/>
      <x:c r="C28" s="17"/>
      <x:c r="D28" s="17"/>
      <x:c r="E28" s="17"/>
      <x:c r="F28" s="17" t="s">
        <x:v>66</x:v>
      </x:c>
      <x:c r="G28" s="17" t="s">
        <x:v>67</x:v>
      </x:c>
      <x:c r="H28" s="21"/>
      <x:c r="I28" s="17"/>
    </x:row>
    <x:row r="29" ht="15.75" customHeight="1">
      <x:c r="A29" s="17"/>
      <x:c r="B29" s="17"/>
      <x:c r="C29" s="17"/>
      <x:c r="D29" s="17"/>
      <x:c r="E29" s="17"/>
      <x:c r="F29" s="17" t="s">
        <x:v>66</x:v>
      </x:c>
      <x:c r="G29" s="17" t="s">
        <x:v>67</x:v>
      </x:c>
      <x:c r="H29" s="21"/>
      <x:c r="I29" s="17"/>
    </x:row>
    <x:row r="30" ht="15.75" customHeight="1">
      <x:c r="A30" s="17"/>
      <x:c r="B30" s="17"/>
      <x:c r="C30" s="17"/>
      <x:c r="D30" s="17"/>
      <x:c r="E30" s="17"/>
      <x:c r="F30" s="17" t="s">
        <x:v>66</x:v>
      </x:c>
      <x:c r="G30" s="17" t="s">
        <x:v>67</x:v>
      </x:c>
      <x:c r="H30" s="21"/>
      <x:c r="I30" s="17"/>
    </x:row>
    <x:row r="31" ht="15.75" customHeight="1">
      <x:c r="A31" s="17"/>
      <x:c r="B31" s="17"/>
      <x:c r="C31" s="17"/>
      <x:c r="D31" s="17"/>
      <x:c r="E31" s="17"/>
      <x:c r="F31" s="17" t="s">
        <x:v>66</x:v>
      </x:c>
      <x:c r="G31" s="17" t="s">
        <x:v>67</x:v>
      </x:c>
      <x:c r="H31" s="21"/>
      <x:c r="I31" s="17"/>
    </x:row>
    <x:row r="32" ht="15.75" customHeight="1">
      <x:c r="A32" s="17"/>
      <x:c r="B32" s="17"/>
      <x:c r="C32" s="17"/>
      <x:c r="D32" s="17"/>
      <x:c r="E32" s="17"/>
      <x:c r="F32" s="17" t="s">
        <x:v>66</x:v>
      </x:c>
      <x:c r="G32" s="17" t="s">
        <x:v>67</x:v>
      </x:c>
      <x:c r="H32" s="21"/>
      <x:c r="I32" s="17"/>
    </x:row>
    <x:row r="33" ht="15.75" customHeight="1">
      <x:c r="A33" s="17"/>
      <x:c r="B33" s="17"/>
      <x:c r="C33" s="17"/>
      <x:c r="D33" s="17"/>
      <x:c r="E33" s="17"/>
      <x:c r="F33" s="17" t="s">
        <x:v>66</x:v>
      </x:c>
      <x:c r="G33" s="17" t="s">
        <x:v>67</x:v>
      </x:c>
      <x:c r="H33" s="21"/>
      <x:c r="I33" s="17"/>
    </x:row>
    <x:row r="34" ht="15.75" customHeight="1">
      <x:c r="A34" s="17"/>
      <x:c r="B34" s="17"/>
      <x:c r="C34" s="17"/>
      <x:c r="D34" s="17"/>
      <x:c r="E34" s="17"/>
      <x:c r="F34" s="17" t="s">
        <x:v>66</x:v>
      </x:c>
      <x:c r="G34" s="17" t="s">
        <x:v>67</x:v>
      </x:c>
      <x:c r="H34" s="21"/>
      <x:c r="I34" s="17"/>
    </x:row>
    <x:row r="35" ht="15.75" customHeight="1">
      <x:c r="A35" s="17"/>
      <x:c r="B35" s="17"/>
      <x:c r="C35" s="17"/>
      <x:c r="D35" s="17"/>
      <x:c r="E35" s="17"/>
      <x:c r="F35" s="17" t="s">
        <x:v>66</x:v>
      </x:c>
      <x:c r="G35" s="17" t="s">
        <x:v>67</x:v>
      </x:c>
      <x:c r="H35" s="21"/>
      <x:c r="I35" s="17"/>
    </x:row>
    <x:row r="36" ht="15.75" customHeight="1">
      <x:c r="A36" s="17"/>
      <x:c r="B36" s="17"/>
      <x:c r="C36" s="17"/>
      <x:c r="D36" s="17"/>
      <x:c r="E36" s="17"/>
      <x:c r="F36" s="17" t="s">
        <x:v>66</x:v>
      </x:c>
      <x:c r="G36" s="17" t="s">
        <x:v>67</x:v>
      </x:c>
      <x:c r="H36" s="21"/>
      <x:c r="I36" s="17"/>
    </x:row>
    <x:row r="37" ht="15.75" customHeight="1">
      <x:c r="A37" s="17"/>
      <x:c r="B37" s="17"/>
      <x:c r="C37" s="17"/>
      <x:c r="D37" s="17"/>
      <x:c r="E37" s="17"/>
      <x:c r="F37" s="17" t="s">
        <x:v>66</x:v>
      </x:c>
      <x:c r="G37" s="17" t="s">
        <x:v>67</x:v>
      </x:c>
      <x:c r="H37" s="21"/>
      <x:c r="I37" s="17"/>
    </x:row>
    <x:row r="38" ht="15.75" customHeight="1">
      <x:c r="A38" s="17"/>
      <x:c r="B38" s="17"/>
      <x:c r="C38" s="17"/>
      <x:c r="D38" s="17"/>
      <x:c r="E38" s="17"/>
      <x:c r="F38" s="17" t="s">
        <x:v>66</x:v>
      </x:c>
      <x:c r="G38" s="17" t="s">
        <x:v>67</x:v>
      </x:c>
      <x:c r="H38" s="21"/>
      <x:c r="I38" s="17"/>
    </x:row>
    <x:row r="39" ht="15.75" customHeight="1">
      <x:c r="A39" s="17"/>
      <x:c r="B39" s="17"/>
      <x:c r="C39" s="17"/>
      <x:c r="D39" s="17"/>
      <x:c r="E39" s="17"/>
      <x:c r="F39" s="17" t="s">
        <x:v>66</x:v>
      </x:c>
      <x:c r="G39" s="17" t="s">
        <x:v>67</x:v>
      </x:c>
      <x:c r="H39" s="21"/>
      <x:c r="I39" s="17"/>
    </x:row>
    <x:row r="40" ht="15.75" customHeight="1">
      <x:c r="A40" s="17"/>
      <x:c r="B40" s="17"/>
      <x:c r="C40" s="17"/>
      <x:c r="D40" s="17"/>
      <x:c r="E40" s="17"/>
      <x:c r="F40" s="17" t="s">
        <x:v>66</x:v>
      </x:c>
      <x:c r="G40" s="17" t="s">
        <x:v>67</x:v>
      </x:c>
      <x:c r="H40" s="21"/>
      <x:c r="I40" s="17"/>
    </x:row>
    <x:row r="41" ht="15.75" customHeight="1">
      <x:c r="A41" s="17"/>
      <x:c r="B41" s="17"/>
      <x:c r="C41" s="17"/>
      <x:c r="D41" s="17"/>
      <x:c r="E41" s="17"/>
      <x:c r="F41" s="17" t="s">
        <x:v>66</x:v>
      </x:c>
      <x:c r="G41" s="17" t="s">
        <x:v>67</x:v>
      </x:c>
      <x:c r="H41" s="21"/>
      <x:c r="I41" s="17"/>
    </x:row>
    <x:row r="42" ht="15.75" customHeight="1">
      <x:c r="A42" s="17"/>
      <x:c r="B42" s="17"/>
      <x:c r="C42" s="17"/>
      <x:c r="D42" s="17"/>
      <x:c r="E42" s="17"/>
      <x:c r="F42" s="17" t="s">
        <x:v>66</x:v>
      </x:c>
      <x:c r="G42" s="17" t="s">
        <x:v>67</x:v>
      </x:c>
      <x:c r="H42" s="21"/>
      <x:c r="I42" s="17"/>
    </x:row>
    <x:row r="43" ht="15.75" customHeight="1">
      <x:c r="A43" s="17"/>
      <x:c r="B43" s="17"/>
      <x:c r="C43" s="17"/>
      <x:c r="D43" s="17"/>
      <x:c r="E43" s="17"/>
      <x:c r="F43" s="17" t="s">
        <x:v>66</x:v>
      </x:c>
      <x:c r="G43" s="17" t="s">
        <x:v>67</x:v>
      </x:c>
      <x:c r="H43" s="21"/>
      <x:c r="I43" s="17"/>
    </x:row>
    <x:row r="44" ht="15.75" customHeight="1">
      <x:c r="A44" s="17"/>
      <x:c r="B44" s="17"/>
      <x:c r="C44" s="17"/>
      <x:c r="D44" s="17"/>
      <x:c r="E44" s="17"/>
      <x:c r="F44" s="17" t="s">
        <x:v>66</x:v>
      </x:c>
      <x:c r="G44" s="17" t="s">
        <x:v>67</x:v>
      </x:c>
      <x:c r="H44" s="21"/>
      <x:c r="I44" s="17"/>
    </x:row>
    <x:row r="45" ht="15.75" customHeight="1">
      <x:c r="A45" s="17"/>
      <x:c r="B45" s="17"/>
      <x:c r="C45" s="17"/>
      <x:c r="D45" s="17"/>
      <x:c r="E45" s="17"/>
      <x:c r="F45" s="17" t="s">
        <x:v>66</x:v>
      </x:c>
      <x:c r="G45" s="17" t="s">
        <x:v>67</x:v>
      </x:c>
      <x:c r="H45" s="21"/>
      <x:c r="I45" s="17"/>
    </x:row>
    <x:row r="46" ht="15.75" customHeight="1">
      <x:c r="A46" s="17"/>
      <x:c r="B46" s="17"/>
      <x:c r="C46" s="17"/>
      <x:c r="D46" s="17"/>
      <x:c r="E46" s="17"/>
      <x:c r="F46" s="17" t="s">
        <x:v>66</x:v>
      </x:c>
      <x:c r="G46" s="17" t="s">
        <x:v>67</x:v>
      </x:c>
      <x:c r="H46" s="21"/>
      <x:c r="I46" s="17"/>
    </x:row>
    <x:row r="47" ht="15.75" customHeight="1">
      <x:c r="A47" s="17"/>
      <x:c r="B47" s="17"/>
      <x:c r="C47" s="17"/>
      <x:c r="D47" s="17"/>
      <x:c r="E47" s="17"/>
      <x:c r="F47" s="17" t="s">
        <x:v>66</x:v>
      </x:c>
      <x:c r="G47" s="17" t="s">
        <x:v>67</x:v>
      </x:c>
      <x:c r="H47" s="21"/>
      <x:c r="I47" s="17"/>
    </x:row>
    <x:row r="48" ht="15.75" customHeight="1">
      <x:c r="A48" s="17"/>
      <x:c r="B48" s="17"/>
      <x:c r="C48" s="17"/>
      <x:c r="D48" s="17"/>
      <x:c r="E48" s="17"/>
      <x:c r="F48" s="17" t="s">
        <x:v>66</x:v>
      </x:c>
      <x:c r="G48" s="17" t="s">
        <x:v>67</x:v>
      </x:c>
      <x:c r="H48" s="21"/>
      <x:c r="I48" s="17"/>
    </x:row>
    <x:row r="49" ht="15.75" customHeight="1">
      <x:c r="A49" s="17"/>
      <x:c r="B49" s="17"/>
      <x:c r="C49" s="17"/>
      <x:c r="D49" s="17"/>
      <x:c r="E49" s="17"/>
      <x:c r="F49" s="17" t="s">
        <x:v>66</x:v>
      </x:c>
      <x:c r="G49" s="17" t="s">
        <x:v>67</x:v>
      </x:c>
      <x:c r="H49" s="21"/>
      <x:c r="I49" s="17"/>
    </x:row>
    <x:row r="50" ht="15.75" customHeight="1">
      <x:c r="A50" s="17"/>
      <x:c r="B50" s="17"/>
      <x:c r="C50" s="17"/>
      <x:c r="D50" s="17"/>
      <x:c r="E50" s="17"/>
      <x:c r="F50" s="17" t="s">
        <x:v>66</x:v>
      </x:c>
      <x:c r="G50" s="17" t="s">
        <x:v>67</x:v>
      </x:c>
      <x:c r="H50" s="21"/>
      <x:c r="I50" s="17"/>
    </x:row>
    <x:row r="51" ht="15.75" customHeight="1">
      <x:c r="A51" s="17"/>
      <x:c r="B51" s="17"/>
      <x:c r="C51" s="17"/>
      <x:c r="D51" s="17"/>
      <x:c r="E51" s="17"/>
      <x:c r="F51" s="17" t="s">
        <x:v>66</x:v>
      </x:c>
      <x:c r="G51" s="17" t="s">
        <x:v>67</x:v>
      </x:c>
      <x:c r="H51" s="21"/>
      <x:c r="I51" s="17"/>
    </x:row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G2:G51">
    <x:cfRule type="expression" dxfId="4" priority="1">
      <x:formula>G2="Added to ActiveCampaign"</x:formula>
    </x:cfRule>
  </x:conditionalFormatting>
  <x:conditionalFormatting sqref="G2:G51">
    <x:cfRule type="expression" dxfId="7" priority="2">
      <x:formula>G2="Submitted to Iffah"</x:formula>
    </x:cfRule>
  </x:conditionalFormatting>
  <x:conditionalFormatting sqref="G2:G51">
    <x:cfRule type="expression" dxfId="5" priority="3">
      <x:formula>G2="Needs Follow-up"</x:formula>
    </x:cfRule>
  </x:conditionalFormatting>
  <x:dataValidations count="3">
    <x:dataValidation type="list" allowBlank="1" sqref="F2:F51">
      <x:formula1>Lists!$J$2:$J$4</x:formula1>
    </x:dataValidation>
    <x:dataValidation type="list" allowBlank="1" sqref="A2:A51">
      <x:formula1>Lists!$A$2:$A$14</x:formula1>
    </x:dataValidation>
    <x:dataValidation type="list" allowBlank="1" sqref="G2:G51">
      <x:formula1>Lists!$K$2:$K$8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b7232b279d44e7"/>
  </x:tableParts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3" width="18" customWidth="1"/>
    <x:col min="14" max="26" width="8.630000114440918" customWidth="1"/>
  </x:cols>
  <x:sheetData>
    <x:row r="1">
      <x:c r="A1" s="22" t="s">
        <x:v>38</x:v>
      </x:c>
      <x:c r="B1" s="22" t="s">
        <x:v>39</x:v>
      </x:c>
      <x:c r="C1" s="22" t="s">
        <x:v>105</x:v>
      </x:c>
      <x:c r="D1" s="22" t="s">
        <x:v>106</x:v>
      </x:c>
      <x:c r="E1" s="23"/>
      <x:c r="F1" s="23"/>
      <x:c r="G1" s="22" t="s">
        <x:v>107</x:v>
      </x:c>
      <x:c r="H1" s="22" t="s">
        <x:v>108</x:v>
      </x:c>
      <x:c r="I1" s="22" t="s">
        <x:v>42</x:v>
      </x:c>
      <x:c r="J1" s="22" t="s">
        <x:v>109</x:v>
      </x:c>
      <x:c r="K1" s="22" t="s">
        <x:v>51</x:v>
      </x:c>
      <x:c r="L1" s="22" t="s">
        <x:v>44</x:v>
      </x:c>
      <x:c r="M1" s="22" t="s">
        <x:v>110</x:v>
      </x:c>
    </x:row>
    <x:row r="2">
      <x:c r="A2" s="23" t="s">
        <x:v>56</x:v>
      </x:c>
      <x:c r="B2" s="24" t="s">
        <x:v>111</x:v>
      </x:c>
      <x:c r="C2" s="25">
        <x:v>46208.0</x:v>
      </x:c>
      <x:c r="D2" s="25">
        <x:v>46214.0</x:v>
      </x:c>
      <x:c r="E2" s="23"/>
      <x:c r="F2" s="23"/>
      <x:c r="G2" s="23" t="s">
        <x:v>112</x:v>
      </x:c>
      <x:c r="H2" s="23" t="s">
        <x:v>112</x:v>
      </x:c>
      <x:c r="I2" s="23" t="s">
        <x:v>113</x:v>
      </x:c>
      <x:c r="J2" s="23" t="s">
        <x:v>64</x:v>
      </x:c>
      <x:c r="K2" s="23" t="s">
        <x:v>67</x:v>
      </x:c>
      <x:c r="L2" s="23" t="s">
        <x:v>61</x:v>
      </x:c>
      <x:c r="M2" s="23" t="s">
        <x:v>62</x:v>
      </x:c>
    </x:row>
    <x:row r="3">
      <x:c r="A3" s="23" t="s">
        <x:v>72</x:v>
      </x:c>
      <x:c r="B3" s="24" t="s">
        <x:v>114</x:v>
      </x:c>
      <x:c r="C3" s="25">
        <x:v>46215.0</x:v>
      </x:c>
      <x:c r="D3" s="25">
        <x:v>46221.0</x:v>
      </x:c>
      <x:c r="E3" s="23"/>
      <x:c r="F3" s="23"/>
      <x:c r="G3" s="23" t="s">
        <x:v>74</x:v>
      </x:c>
      <x:c r="H3" s="23" t="s">
        <x:v>115</x:v>
      </x:c>
      <x:c r="I3" s="23" t="s">
        <x:v>59</x:v>
      </x:c>
      <x:c r="J3" s="23" t="s">
        <x:v>116</x:v>
      </x:c>
      <x:c r="K3" s="23" t="s">
        <x:v>103</x:v>
      </x:c>
      <x:c r="L3" s="23" t="s">
        <x:v>117</x:v>
      </x:c>
      <x:c r="M3" s="23" t="s">
        <x:v>118</x:v>
      </x:c>
    </x:row>
    <x:row r="4">
      <x:c r="A4" s="23" t="s">
        <x:v>78</x:v>
      </x:c>
      <x:c r="B4" s="24" t="s">
        <x:v>119</x:v>
      </x:c>
      <x:c r="C4" s="25">
        <x:v>46222.0</x:v>
      </x:c>
      <x:c r="D4" s="25">
        <x:v>46228.0</x:v>
      </x:c>
      <x:c r="E4" s="23"/>
      <x:c r="F4" s="23"/>
      <x:c r="G4" s="23" t="s">
        <x:v>120</x:v>
      </x:c>
      <x:c r="H4" s="23" t="s">
        <x:v>121</x:v>
      </x:c>
      <x:c r="I4" s="23" t="s">
        <x:v>122</x:v>
      </x:c>
      <x:c r="J4" s="23" t="s">
        <x:v>66</x:v>
      </x:c>
      <x:c r="K4" s="23" t="s">
        <x:v>123</x:v>
      </x:c>
      <x:c r="L4" s="23" t="s">
        <x:v>124</x:v>
      </x:c>
      <x:c r="M4" s="23" t="s">
        <x:v>125</x:v>
      </x:c>
    </x:row>
    <x:row r="5">
      <x:c r="A5" s="23" t="s">
        <x:v>82</x:v>
      </x:c>
      <x:c r="B5" s="24" t="s">
        <x:v>126</x:v>
      </x:c>
      <x:c r="C5" s="25">
        <x:v>46229.0</x:v>
      </x:c>
      <x:c r="D5" s="25">
        <x:v>46235.0</x:v>
      </x:c>
      <x:c r="E5" s="23"/>
      <x:c r="F5" s="23"/>
      <x:c r="G5" s="23" t="s">
        <x:v>127</x:v>
      </x:c>
      <x:c r="H5" s="23" t="s">
        <x:v>128</x:v>
      </x:c>
      <x:c r="I5" s="23" t="s">
        <x:v>129</x:v>
      </x:c>
      <x:c r="J5" s="23"/>
      <x:c r="K5" s="23" t="s">
        <x:v>130</x:v>
      </x:c>
      <x:c r="L5" s="23"/>
      <x:c r="M5" s="23" t="s">
        <x:v>131</x:v>
      </x:c>
    </x:row>
    <x:row r="6">
      <x:c r="A6" s="23" t="s">
        <x:v>86</x:v>
      </x:c>
      <x:c r="B6" s="24" t="s">
        <x:v>132</x:v>
      </x:c>
      <x:c r="C6" s="25">
        <x:v>46236.0</x:v>
      </x:c>
      <x:c r="D6" s="25">
        <x:v>46242.0</x:v>
      </x:c>
      <x:c r="E6" s="23"/>
      <x:c r="F6" s="23"/>
      <x:c r="G6" s="23" t="s">
        <x:v>133</x:v>
      </x:c>
      <x:c r="H6" s="23"/>
      <x:c r="I6" s="23" t="s">
        <x:v>134</x:v>
      </x:c>
      <x:c r="J6" s="23"/>
      <x:c r="K6" s="23" t="s">
        <x:v>135</x:v>
      </x:c>
      <x:c r="L6" s="23"/>
      <x:c r="M6" s="23" t="s">
        <x:v>136</x:v>
      </x:c>
    </x:row>
    <x:row r="7">
      <x:c r="A7" s="23" t="s">
        <x:v>89</x:v>
      </x:c>
      <x:c r="B7" s="24" t="s">
        <x:v>137</x:v>
      </x:c>
      <x:c r="C7" s="25">
        <x:v>46243.0</x:v>
      </x:c>
      <x:c r="D7" s="25">
        <x:v>46249.0</x:v>
      </x:c>
      <x:c r="E7" s="23"/>
      <x:c r="F7" s="23"/>
      <x:c r="G7" s="23" t="s">
        <x:v>60</x:v>
      </x:c>
      <x:c r="H7" s="23"/>
      <x:c r="I7" s="23" t="s">
        <x:v>138</x:v>
      </x:c>
      <x:c r="J7" s="23"/>
      <x:c r="K7" s="23" t="s">
        <x:v>139</x:v>
      </x:c>
      <x:c r="L7" s="23"/>
      <x:c r="M7" s="23" t="s">
        <x:v>140</x:v>
      </x:c>
    </x:row>
    <x:row r="8">
      <x:c r="A8" s="23" t="s">
        <x:v>93</x:v>
      </x:c>
      <x:c r="B8" s="24" t="s">
        <x:v>141</x:v>
      </x:c>
      <x:c r="C8" s="25">
        <x:v>46250.0</x:v>
      </x:c>
      <x:c r="D8" s="25">
        <x:v>46256.0</x:v>
      </x:c>
      <x:c r="E8" s="23"/>
      <x:c r="F8" s="23"/>
      <x:c r="G8" s="23" t="s">
        <x:v>142</x:v>
      </x:c>
      <x:c r="H8" s="23"/>
      <x:c r="I8" s="23"/>
      <x:c r="J8" s="23"/>
      <x:c r="K8" s="23" t="s">
        <x:v>143</x:v>
      </x:c>
      <x:c r="L8" s="23"/>
      <x:c r="M8" s="23" t="s">
        <x:v>144</x:v>
      </x:c>
    </x:row>
    <x:row r="9">
      <x:c r="A9" s="23" t="s">
        <x:v>94</x:v>
      </x:c>
      <x:c r="B9" s="24" t="s">
        <x:v>145</x:v>
      </x:c>
      <x:c r="C9" s="25">
        <x:v>46257.0</x:v>
      </x:c>
      <x:c r="D9" s="25">
        <x:v>46263.0</x:v>
      </x:c>
      <x:c r="E9" s="23"/>
      <x:c r="F9" s="23"/>
      <x:c r="G9" s="23" t="s">
        <x:v>146</x:v>
      </x:c>
      <x:c r="H9" s="23"/>
      <x:c r="I9" s="23"/>
      <x:c r="J9" s="23"/>
      <x:c r="K9" s="23"/>
      <x:c r="L9" s="23"/>
      <x:c r="M9" s="23" t="s">
        <x:v>147</x:v>
      </x:c>
    </x:row>
    <x:row r="10">
      <x:c r="A10" s="23" t="s">
        <x:v>95</x:v>
      </x:c>
      <x:c r="B10" s="24" t="s">
        <x:v>148</x:v>
      </x:c>
      <x:c r="C10" s="25">
        <x:v>46264.0</x:v>
      </x:c>
      <x:c r="D10" s="25">
        <x:v>46270.0</x:v>
      </x:c>
      <x:c r="E10" s="23"/>
      <x:c r="F10" s="23"/>
      <x:c r="G10" s="23" t="s">
        <x:v>128</x:v>
      </x:c>
      <x:c r="H10" s="23"/>
      <x:c r="I10" s="23"/>
      <x:c r="J10" s="23"/>
      <x:c r="K10" s="23"/>
      <x:c r="L10" s="23"/>
      <x:c r="M10" s="23"/>
    </x:row>
    <x:row r="11">
      <x:c r="A11" s="23" t="s">
        <x:v>96</x:v>
      </x:c>
      <x:c r="B11" s="24" t="s">
        <x:v>149</x:v>
      </x:c>
      <x:c r="C11" s="25">
        <x:v>46271.0</x:v>
      </x:c>
      <x:c r="D11" s="25">
        <x:v>46277.0</x:v>
      </x:c>
      <x:c r="E11" s="23"/>
      <x:c r="F11" s="23"/>
      <x:c r="G11" s="23"/>
      <x:c r="H11" s="23"/>
      <x:c r="I11" s="23"/>
      <x:c r="J11" s="23"/>
      <x:c r="K11" s="23"/>
      <x:c r="L11" s="23"/>
      <x:c r="M11" s="23"/>
    </x:row>
    <x:row r="12">
      <x:c r="A12" s="23" t="s">
        <x:v>97</x:v>
      </x:c>
      <x:c r="B12" s="24" t="s">
        <x:v>150</x:v>
      </x:c>
      <x:c r="C12" s="25">
        <x:v>46278.0</x:v>
      </x:c>
      <x:c r="D12" s="25">
        <x:v>46284.0</x:v>
      </x:c>
      <x:c r="E12" s="23"/>
      <x:c r="F12" s="23"/>
      <x:c r="G12" s="23"/>
      <x:c r="H12" s="23"/>
      <x:c r="I12" s="23"/>
      <x:c r="J12" s="23"/>
      <x:c r="K12" s="23"/>
      <x:c r="L12" s="23"/>
      <x:c r="M12" s="23"/>
    </x:row>
    <x:row r="13">
      <x:c r="A13" s="23" t="s">
        <x:v>98</x:v>
      </x:c>
      <x:c r="B13" s="24" t="s">
        <x:v>151</x:v>
      </x:c>
      <x:c r="C13" s="25">
        <x:v>46285.0</x:v>
      </x:c>
      <x:c r="D13" s="25">
        <x:v>46291.0</x:v>
      </x:c>
      <x:c r="E13" s="23"/>
      <x:c r="F13" s="23"/>
      <x:c r="G13" s="23"/>
      <x:c r="H13" s="23"/>
      <x:c r="I13" s="23"/>
      <x:c r="J13" s="23"/>
      <x:c r="K13" s="23"/>
      <x:c r="L13" s="23"/>
      <x:c r="M13" s="23"/>
    </x:row>
    <x:row r="14">
      <x:c r="A14" s="23" t="s">
        <x:v>99</x:v>
      </x:c>
      <x:c r="B14" s="24" t="s">
        <x:v>152</x:v>
      </x:c>
      <x:c r="C14" s="25">
        <x:v>46292.0</x:v>
      </x:c>
      <x:c r="D14" s="25">
        <x:v>46298.0</x:v>
      </x:c>
      <x:c r="E14" s="23"/>
      <x:c r="F14" s="23"/>
      <x:c r="G14" s="23"/>
      <x:c r="H14" s="23"/>
      <x:c r="I14" s="23"/>
      <x:c r="J14" s="23"/>
      <x:c r="K14" s="23"/>
      <x:c r="L14" s="23"/>
      <x:c r="M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