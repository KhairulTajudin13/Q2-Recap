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Content Tracker" sheetId="2" r:id="rId5"/>
    <sheet state="visible" name="Weekly Checklist" sheetId="3" r:id="rId6"/>
    <sheet state="visible" name="ActiveCampaign Queue" sheetId="4" r:id="rId7"/>
    <sheet state="visible" name="Lists" sheetId="5" r:id="rId8"/>
  </sheets>
  <definedNames>
    <definedName hidden="1" localSheetId="1" name="_xlnm._FilterDatabase">'Content Tracker'!$A$1:$S$39</definedName>
  </definedNames>
  <calcPr/>
  <extLst>
    <ext uri="GoogleSheetsCustomDataVersion2">
      <go:sheetsCustomData xmlns:go="http://customooxmlschemas.google.com/" r:id="rId9" roundtripDataChecksum="BjZRYky/BVV5QzDJIPu7Iq4Wa1cOm9gP+8VdytGzymo="/>
    </ext>
  </extLst>
</workbook>
</file>

<file path=xl/sharedStrings.xml><?xml version="1.0" encoding="utf-8"?>
<sst xmlns="http://schemas.openxmlformats.org/spreadsheetml/2006/main" count="1635" uniqueCount="209">
  <si>
    <t>Q3 Weekly Checklist &amp; Industrial Content Plan</t>
  </si>
  <si>
    <t>Q3 focus: produce consistent industrial tutorials/articles, integrate Solehin video content, and coordinate targeted tutorials with Iffah for ActiveCampaign.</t>
  </si>
  <si>
    <t>Weekly Content Target</t>
  </si>
  <si>
    <t>Q3 Content Target</t>
  </si>
  <si>
    <t>Video-supported Target</t>
  </si>
  <si>
    <t>ActiveCampaign Target</t>
  </si>
  <si>
    <t>2–3 per week</t>
  </si>
  <si>
    <t>24–36 pieces</t>
  </si>
  <si>
    <t>8–12 tutorials</t>
  </si>
  <si>
    <t>Live Progress Summary</t>
  </si>
  <si>
    <t>Published / Completed</t>
  </si>
  <si>
    <t>Video Included</t>
  </si>
  <si>
    <t>AC Submitted</t>
  </si>
  <si>
    <t>Checklist Done</t>
  </si>
  <si>
    <t>Blocked Items</t>
  </si>
  <si>
    <t>Views/Clicks Added</t>
  </si>
  <si>
    <t>Month</t>
  </si>
  <si>
    <t>Content Target</t>
  </si>
  <si>
    <t>ActiveCampaign Submitted</t>
  </si>
  <si>
    <t>July 2026</t>
  </si>
  <si>
    <t>8–12</t>
  </si>
  <si>
    <t>August 2026</t>
  </si>
  <si>
    <t>September 2026</t>
  </si>
  <si>
    <t>Weekly Operating Rhythm</t>
  </si>
  <si>
    <t>Monday</t>
  </si>
  <si>
    <t>Check on Solehin Tiktok Video list from Google Drive. Draft 1st article.</t>
  </si>
  <si>
    <t>Tuesday</t>
  </si>
  <si>
    <t xml:space="preserve">Upload 1st youtube video. Publish 1st article. </t>
  </si>
  <si>
    <t>Wednesday</t>
  </si>
  <si>
    <t>Check on Solehin Tiktok Video list from Google Drive. Draft 2nd article.</t>
  </si>
  <si>
    <t>Thursday</t>
  </si>
  <si>
    <t>Upload 2nd youtube video. Publish 2nd article</t>
  </si>
  <si>
    <t>Friday</t>
  </si>
  <si>
    <t>If 1st week, draft 3rd article. If 2nd week, publish 3rd article. Update tracker. Identify article for ActiveCampaign with Iffah.</t>
  </si>
  <si>
    <t>Monthly</t>
  </si>
  <si>
    <t>Review total published content on Youtube, Industrial articles, ActiveCampaign list, and top-performing content.</t>
  </si>
  <si>
    <t>Q3 End</t>
  </si>
  <si>
    <t>Summarize published pieces, video integrations, ActiveCampaign results, and lessons for appraisal.</t>
  </si>
  <si>
    <t>Solehin Google Drive</t>
  </si>
  <si>
    <t>Week</t>
  </si>
  <si>
    <t>Date Range</t>
  </si>
  <si>
    <t>Content Title</t>
  </si>
  <si>
    <t>Product / Category</t>
  </si>
  <si>
    <t>Content Type</t>
  </si>
  <si>
    <t>Status</t>
  </si>
  <si>
    <t>Priority</t>
  </si>
  <si>
    <t>Owner / PIC</t>
  </si>
  <si>
    <t>Draft Start Date</t>
  </si>
  <si>
    <t>Publish Date</t>
  </si>
  <si>
    <t>Tutorial / Article URL</t>
  </si>
  <si>
    <t>Solehin Video Included</t>
  </si>
  <si>
    <t>YouTube Link</t>
  </si>
  <si>
    <t>AC Status</t>
  </si>
  <si>
    <t>Baseline Views / Clicks</t>
  </si>
  <si>
    <t>Latest Views / Clicks</t>
  </si>
  <si>
    <t>Views / Clicks Added</t>
  </si>
  <si>
    <t>Notes</t>
  </si>
  <si>
    <t>W01</t>
  </si>
  <si>
    <t>What is SCADA? A Simple Introduction to Industrial Monitoring</t>
  </si>
  <si>
    <t>IRIV Pi Control</t>
  </si>
  <si>
    <t>Article</t>
  </si>
  <si>
    <t>Published</t>
  </si>
  <si>
    <t>High</t>
  </si>
  <si>
    <t>Me</t>
  </si>
  <si>
    <t>https://my.cytron.io/tutorial/what-is-scada-a-simple-introduction-to-industrial-monitoring</t>
  </si>
  <si>
    <t>Yes</t>
  </si>
  <si>
    <t>https://www.youtube.com/shorts/WfHgmy9Kvp8</t>
  </si>
  <si>
    <t>Pending</t>
  </si>
  <si>
    <t>Not Submitted</t>
  </si>
  <si>
    <t>How AI Detects Defects in Product Quality Inspection</t>
  </si>
  <si>
    <t>IRIV EdgeAI CM5</t>
  </si>
  <si>
    <t>https://my.cytron.io/tutorial/how-ai-detects-defects-in-product-quality-inspection</t>
  </si>
  <si>
    <t>https://www.youtube.com/shorts/xQniEPTFj9U</t>
  </si>
  <si>
    <t>W02</t>
  </si>
  <si>
    <t>Industry Dashboard with IRIV</t>
  </si>
  <si>
    <t>13/07/2026</t>
  </si>
  <si>
    <t xml:space="preserve">https://my.cytron.io/tutorial/building-an-industry-dashboard-with-iriv-picontrol </t>
  </si>
  <si>
    <t>https://youtu.be/tUEK-JzW9bs?si=ZRfxPGpH4gQSsiEr</t>
  </si>
  <si>
    <t>IRIV Pi Control with SCADA</t>
  </si>
  <si>
    <t>15/07/2026</t>
  </si>
  <si>
    <t>https://my.cytron.io/tutorial/from-plc-to-dashboard-with-node-red</t>
  </si>
  <si>
    <t>https://www.youtube.com/shorts/RoTh8YZ8wN4?feature=share</t>
  </si>
  <si>
    <t>IRIV PiControl Workshop at JMTI, 6 - 7 April 2026</t>
  </si>
  <si>
    <t>Workshop</t>
  </si>
  <si>
    <t>Planning</t>
  </si>
  <si>
    <t>No</t>
  </si>
  <si>
    <t>W03</t>
  </si>
  <si>
    <t>Can IRIV Smarthub CM5 Create MES System</t>
  </si>
  <si>
    <t>IRIV SmartHub CM5</t>
  </si>
  <si>
    <t>AI PPE Zone Monitoring</t>
  </si>
  <si>
    <t>IRIV PiControl Workshop at Peninsula College</t>
  </si>
  <si>
    <t>W04</t>
  </si>
  <si>
    <t>Best AI Tools for Industry</t>
  </si>
  <si>
    <t>Industrial</t>
  </si>
  <si>
    <t>84 Days Stress Test for IRIV Smarthub CM5</t>
  </si>
  <si>
    <t>IRIV PiControl Workshop at TVET MARA Sungai Petani</t>
  </si>
  <si>
    <t>W05</t>
  </si>
  <si>
    <t>IRIV Pi Control Use Cases (Weather Station)</t>
  </si>
  <si>
    <t>IRIV EdgeAI CM5 Use Cases (Packaging Detection)</t>
  </si>
  <si>
    <t>VA Integrated Cooperate Sdn Bhd, mai training kat HQ, 4 - 5 june.</t>
  </si>
  <si>
    <t>W06</t>
  </si>
  <si>
    <t>IRIV EdgeAI CM5 Use Cases (Sample Application)</t>
  </si>
  <si>
    <t>IRIV Pi Control Use Cases (Energy Monitoring)</t>
  </si>
  <si>
    <t>W07</t>
  </si>
  <si>
    <t>IRIV EdgeAI CM5 Use Cases (PPE Safety Detection)</t>
  </si>
  <si>
    <t>IRIV Pi Control Use Cases (System Failure Notification)</t>
  </si>
  <si>
    <t>W08</t>
  </si>
  <si>
    <t>IRIV SmartHub CM5 Use Cases (Digital Signage)</t>
  </si>
  <si>
    <t>W09</t>
  </si>
  <si>
    <t>W10</t>
  </si>
  <si>
    <t>W11</t>
  </si>
  <si>
    <t>W12</t>
  </si>
  <si>
    <t>W13</t>
  </si>
  <si>
    <t>Area</t>
  </si>
  <si>
    <t>Checklist Item</t>
  </si>
  <si>
    <t>Review planned content titles from Content Tracker</t>
  </si>
  <si>
    <t>Not Started</t>
  </si>
  <si>
    <t>Planned content: What is SCADA? A Simple Introduction to Industrial Monitoring; How AI Detects Defects in Product Quality Inspection</t>
  </si>
  <si>
    <t>Confirm 2–3 industrial tutorial/article topics for the week</t>
  </si>
  <si>
    <t>Target: minimum 2, ideal 3 pieces</t>
  </si>
  <si>
    <t>Video Integration</t>
  </si>
  <si>
    <t>Check Solehin TikTok video list from Google Drive</t>
  </si>
  <si>
    <t>Match suitable videos with planned articles</t>
  </si>
  <si>
    <t>Drafting</t>
  </si>
  <si>
    <t>Draft 1st article/tutorial</t>
  </si>
  <si>
    <t>Focus on industrial tutorial/article pipeline</t>
  </si>
  <si>
    <t>YouTube</t>
  </si>
  <si>
    <t>Upload or prepare 1st YouTube video</t>
  </si>
  <si>
    <t>Use related Solehin video if available</t>
  </si>
  <si>
    <t>Publishing</t>
  </si>
  <si>
    <t>Publish or prepare 1st article/tutorial</t>
  </si>
  <si>
    <t>Update URL in Content Tracker after publish</t>
  </si>
  <si>
    <t>Check/confirm 2nd suitable Solehin video</t>
  </si>
  <si>
    <t>Use if the week has a matching video</t>
  </si>
  <si>
    <t>Draft 2nd article/tutorial</t>
  </si>
  <si>
    <t>Upload or prepare 2nd YouTube video</t>
  </si>
  <si>
    <t>Publish or prepare 2nd article/tutorial</t>
  </si>
  <si>
    <t>Optional Content</t>
  </si>
  <si>
    <t>Draft or publish 3rd article/tutorial if available</t>
  </si>
  <si>
    <t>Use alternating cadence if needed: draft in week 1, publish in week 2</t>
  </si>
  <si>
    <t>ActiveCampaign</t>
  </si>
  <si>
    <t>Identify targeted article/tutorial for ActiveCampaign with Iffah</t>
  </si>
  <si>
    <t>Prioritize content with clear product CTA</t>
  </si>
  <si>
    <t>Prepare title, short summary, CTA, and product links</t>
  </si>
  <si>
    <t>Add details into ActiveCampaign Queue</t>
  </si>
  <si>
    <t>Confirm ActiveCampaign inclusion status with Iffah</t>
  </si>
  <si>
    <t>Iffah</t>
  </si>
  <si>
    <t>Update AC Status in Content Tracker</t>
  </si>
  <si>
    <t>Tracking</t>
  </si>
  <si>
    <t>Update Content Tracker with URL, YouTube link, AC status, and views/clicks</t>
  </si>
  <si>
    <t>Record baseline where available</t>
  </si>
  <si>
    <t>Weekly Review</t>
  </si>
  <si>
    <t>Review completed content, delayed items, blockers, and next week follow-up</t>
  </si>
  <si>
    <t>Use notes for blockers and carry-forward tasks</t>
  </si>
  <si>
    <t>Planned content: Industry Dashboard with IRIV; Can IRIV Smarthub CM5 Create MES System; IRIV Pi Control with SCADA</t>
  </si>
  <si>
    <t>Planned content: AI PPE Zone Monitoring; Best AI Tools for Industry</t>
  </si>
  <si>
    <t>Planned content: 84 Days Stress Test for IRIV Smarthub CM5; IRIV Pi Control Use Cases (Weather Station); IRIV EdgeAI CM5 Use Cases (Packaging Detection)</t>
  </si>
  <si>
    <t>Planned content: IRIV EdgeAI CM5 Use Cases (Sample Application); IRIV Pi Control Use Cases (Energy Monitoring)</t>
  </si>
  <si>
    <t>Planned content: IRIV EdgeAI CM5 Use Cases (PPE Safety Detection); IRIV Pi Control Use Cases (System Failure Notification); IRIV SmartHub CM5 Use Cases (Digital Signage)</t>
  </si>
  <si>
    <t>No title planned yet in Content Tracker</t>
  </si>
  <si>
    <t>Tutorial / Article Title</t>
  </si>
  <si>
    <t>Target Audience</t>
  </si>
  <si>
    <t>CTA / Product Link</t>
  </si>
  <si>
    <t>Submitted to Iffah</t>
  </si>
  <si>
    <t>Submitted Date</t>
  </si>
  <si>
    <t>Start Date</t>
  </si>
  <si>
    <t>End Date</t>
  </si>
  <si>
    <t>Content Status</t>
  </si>
  <si>
    <t>Checklist Status</t>
  </si>
  <si>
    <t>Yes/No/Pending</t>
  </si>
  <si>
    <t>PIC</t>
  </si>
  <si>
    <t>05 Jul – 11 Jul 2026</t>
  </si>
  <si>
    <t>Tutorial</t>
  </si>
  <si>
    <t>12 Jul – 18 Jul 2026</t>
  </si>
  <si>
    <t>In Progress</t>
  </si>
  <si>
    <t>Medium</t>
  </si>
  <si>
    <t>19 Jul – 25 Jul 2026</t>
  </si>
  <si>
    <t>Done</t>
  </si>
  <si>
    <t>Video-supported Article</t>
  </si>
  <si>
    <t>Added to ActiveCampaign</t>
  </si>
  <si>
    <t>Low</t>
  </si>
  <si>
    <t>Solehin</t>
  </si>
  <si>
    <t>26 Jul – 01 Aug 2026</t>
  </si>
  <si>
    <t>Technical Review</t>
  </si>
  <si>
    <t>Blocked</t>
  </si>
  <si>
    <t>Product Use Case</t>
  </si>
  <si>
    <t>Scheduled</t>
  </si>
  <si>
    <t>IT</t>
  </si>
  <si>
    <t>02 Aug – 08 Aug 2026</t>
  </si>
  <si>
    <t>Ready to Publish</t>
  </si>
  <si>
    <t>Technical Guide</t>
  </si>
  <si>
    <t>Sent</t>
  </si>
  <si>
    <t>Education Team</t>
  </si>
  <si>
    <t>09 Aug – 15 Aug 2026</t>
  </si>
  <si>
    <t>Launch Support Content</t>
  </si>
  <si>
    <t>Needs Follow-up</t>
  </si>
  <si>
    <t>Industry Team</t>
  </si>
  <si>
    <t>16 Aug – 22 Aug 2026</t>
  </si>
  <si>
    <t>Completed</t>
  </si>
  <si>
    <t>Not Suitable</t>
  </si>
  <si>
    <t>International Team</t>
  </si>
  <si>
    <t>23 Aug – 29 Aug 2026</t>
  </si>
  <si>
    <t>Delayed</t>
  </si>
  <si>
    <t>Marketing Team</t>
  </si>
  <si>
    <t>30 Aug – 05 Sep 2026</t>
  </si>
  <si>
    <t>06 Sep – 12 Sep 2026</t>
  </si>
  <si>
    <t>13 Sep – 19 Sep 2026</t>
  </si>
  <si>
    <t>20 Sep – 26 Sep 2026</t>
  </si>
  <si>
    <t>27 Sep – 03 Oct 2026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</si>
</sst>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4">
    <font>
      <sz val="11.0"/>
      <color rgb="FF000000"/>
      <name val="Carlito"/>
      <scheme val="minor"/>
    </font>
    <font>
      <b/>
      <sz val="18.0"/>
      <color rgb="FFFFFFFF"/>
      <name val="Carlito"/>
    </font>
    <font>
      <sz val="11.0"/>
      <color rgb="FF334155"/>
      <name val="Carlito"/>
    </font>
    <font>
      <b/>
      <sz val="11.0"/>
      <color rgb="FF0F172A"/>
      <name val="Carlito"/>
    </font>
    <font>
      <b/>
      <sz val="16.0"/>
      <color rgb="FF0F766E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4.0"/>
      <color rgb="FF0F766E"/>
      <name val="Carlito"/>
    </font>
    <font>
      <b/>
      <sz val="11.0"/>
      <color rgb="FF0F766E"/>
      <name val="Carlito"/>
    </font>
    <font>
      <u/>
      <color rgb="FF0000FF"/>
    </font>
    <font>
      <u/>
      <sz val="11.0"/>
      <color rgb="FF0000FF"/>
      <name val="Carlito"/>
    </font>
    <font>
      <u/>
      <sz val="11.0"/>
      <color rgb="FF000000"/>
      <name val="Carlito"/>
    </font>
    <font>
      <u/>
      <sz val="11.0"/>
      <color theme="1"/>
      <name val="Carlito"/>
    </font>
    <font>
      <color theme="1"/>
      <name val="Carlito"/>
      <scheme val="minor"/>
    </font>
  </fonts>
  <fills count="8">
    <fill>
      <patternFill patternType="none"/>
    </fill>
    <fill>
      <patternFill patternType="lightGray"/>
    </fill>
    <fill>
      <patternFill patternType="solid">
        <fgColor rgb="FF0F766E"/>
        <bgColor rgb="FF0F766E"/>
      </patternFill>
    </fill>
    <fill>
      <patternFill patternType="solid">
        <fgColor rgb="FFECFEFF"/>
        <bgColor rgb="FFECFEFF"/>
      </patternFill>
    </fill>
    <fill>
      <patternFill patternType="solid">
        <fgColor rgb="FFE0F2FE"/>
        <bgColor rgb="FFE0F2FE"/>
      </patternFill>
    </fill>
    <fill>
      <patternFill patternType="solid">
        <fgColor rgb="FFFFFFFF"/>
        <bgColor rgb="FFFFFFFF"/>
      </patternFill>
    </fill>
    <fill>
      <patternFill patternType="solid">
        <fgColor rgb="FF334155"/>
        <bgColor rgb="FF334155"/>
      </patternFill>
    </fill>
    <fill>
      <patternFill patternType="solid">
        <fgColor rgb="FFF0FDFA"/>
        <bgColor rgb="FFF0FDFA"/>
      </patternFill>
    </fill>
  </fills>
  <borders count="1">
    <border/>
  </borders>
  <cellStyleXfs count="1">
    <xf borderId="0" fillId="0" fontId="0" numFmtId="0" applyAlignment="1" applyFont="1"/>
  </cellStyleXfs>
  <cellXfs count="2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shrinkToFit="0" vertical="center" wrapText="1"/>
    </xf>
    <xf borderId="0" fillId="4" fontId="3" numFmtId="0" xfId="0" applyAlignment="1" applyFill="1" applyFont="1">
      <alignment horizontal="center" shrinkToFit="0" vertical="center" wrapText="1"/>
    </xf>
    <xf borderId="0" fillId="5" fontId="4" numFmtId="0" xfId="0" applyAlignment="1" applyFill="1" applyFont="1">
      <alignment horizontal="center" shrinkToFit="0" vertical="center" wrapText="1"/>
    </xf>
    <xf borderId="0" fillId="5" fontId="5" numFmtId="0" xfId="0" applyAlignment="1" applyFont="1">
      <alignment horizontal="center" shrinkToFit="0" vertical="center" wrapText="1"/>
    </xf>
    <xf borderId="0" fillId="2" fontId="6" numFmtId="0" xfId="0" applyAlignment="1" applyFont="1">
      <alignment horizontal="center"/>
    </xf>
    <xf borderId="0" fillId="6" fontId="6" numFmtId="0" xfId="0" applyAlignment="1" applyFill="1" applyFont="1">
      <alignment horizontal="center" shrinkToFit="0" wrapText="1"/>
    </xf>
    <xf borderId="0" fillId="7" fontId="7" numFmtId="1" xfId="0" applyAlignment="1" applyFill="1" applyFont="1" applyNumberFormat="1">
      <alignment horizontal="center"/>
    </xf>
    <xf borderId="0" fillId="0" fontId="5" numFmtId="0" xfId="0" applyAlignment="1" applyFont="1">
      <alignment horizontal="center"/>
    </xf>
    <xf borderId="0" fillId="0" fontId="5" numFmtId="1" xfId="0" applyAlignment="1" applyFont="1" applyNumberFormat="1">
      <alignment horizontal="center"/>
    </xf>
    <xf borderId="0" fillId="5" fontId="8" numFmtId="0" xfId="0" applyAlignment="1" applyFont="1">
      <alignment shrinkToFit="0" vertical="top" wrapText="1"/>
    </xf>
    <xf borderId="0" fillId="5" fontId="5" numFmtId="0" xfId="0" applyAlignment="1" applyFont="1">
      <alignment shrinkToFit="0" vertical="top" wrapText="1"/>
    </xf>
    <xf borderId="0" fillId="5" fontId="5" numFmtId="0" xfId="0" applyAlignment="1" applyFont="1">
      <alignment horizontal="left" shrinkToFit="0" vertical="top" wrapText="1"/>
    </xf>
    <xf borderId="0" fillId="0" fontId="9" numFmtId="0" xfId="0" applyAlignment="1" applyFont="1">
      <alignment readingOrder="0"/>
    </xf>
    <xf borderId="0" fillId="2" fontId="6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  <xf borderId="0" fillId="0" fontId="5" numFmtId="164" xfId="0" applyAlignment="1" applyFont="1" applyNumberFormat="1">
      <alignment horizontal="right" shrinkToFit="0" vertical="top" wrapText="1"/>
    </xf>
    <xf borderId="0" fillId="0" fontId="10" numFmtId="0" xfId="0" applyAlignment="1" applyFont="1">
      <alignment readingOrder="0" shrinkToFit="0" vertical="top" wrapText="1"/>
    </xf>
    <xf borderId="0" fillId="0" fontId="5" numFmtId="0" xfId="0" applyAlignment="1" applyFont="1">
      <alignment readingOrder="0" shrinkToFit="0" vertical="top" wrapText="1"/>
    </xf>
    <xf borderId="0" fillId="0" fontId="5" numFmtId="0" xfId="0" applyAlignment="1" applyFont="1">
      <alignment horizontal="right" readingOrder="0" shrinkToFit="0" vertical="top" wrapText="1"/>
    </xf>
    <xf borderId="0" fillId="0" fontId="11" numFmtId="0" xfId="0" applyAlignment="1" applyFont="1">
      <alignment readingOrder="0" shrinkToFit="0" vertical="top" wrapText="1"/>
    </xf>
    <xf borderId="0" fillId="0" fontId="12" numFmtId="0" xfId="0" applyAlignment="1" applyFont="1">
      <alignment readingOrder="0" shrinkToFit="0" vertical="top" wrapText="1"/>
    </xf>
    <xf borderId="0" fillId="0" fontId="13" numFmtId="0" xfId="0" applyAlignment="1" applyFont="1">
      <alignment readingOrder="0" shrinkToFit="0" wrapText="1"/>
    </xf>
    <xf borderId="0" fillId="0" fontId="13" numFmtId="0" xfId="0" applyAlignment="1" applyFont="1">
      <alignment shrinkToFit="0" wrapText="1"/>
    </xf>
    <xf borderId="0" fillId="0" fontId="13" numFmtId="0" xfId="0" applyFont="1"/>
    <xf borderId="0" fillId="0" fontId="13" numFmtId="0" xfId="0" applyAlignment="1" applyFont="1">
      <alignment horizontal="right"/>
    </xf>
    <xf borderId="0" fillId="0" fontId="5" numFmtId="164" xfId="0" applyAlignment="1" applyFont="1" applyNumberFormat="1">
      <alignment shrinkToFit="0" vertical="top" wrapText="1"/>
    </xf>
    <xf borderId="0" fillId="2" fontId="6" numFmtId="0" xfId="0" applyAlignment="1" applyFont="1">
      <alignment horizontal="center" shrinkToFit="0" vertical="top" wrapText="1"/>
    </xf>
  </cellXfs>
  <cellStyles count="1">
    <cellStyle xfId="0" name="Normal" builtinId="0"/>
  </cellStyles>
  <dxfs count="4">
    <dxf>
      <font>
        <color rgb="FF166534"/>
      </font>
      <fill>
        <patternFill patternType="solid">
          <fgColor rgb="FFDCFCE7"/>
          <bgColor rgb="FFDCFCE7"/>
        </patternFill>
      </fill>
      <border/>
    </dxf>
    <dxf>
      <font>
        <color rgb="FF92400E"/>
      </font>
      <fill>
        <patternFill patternType="solid">
          <fgColor rgb="FFFEF3C7"/>
          <bgColor rgb="FFFEF3C7"/>
        </patternFill>
      </fill>
      <border/>
    </dxf>
    <dxf>
      <font>
        <color rgb="FF991B1B"/>
      </font>
      <fill>
        <patternFill patternType="solid">
          <fgColor rgb="FFFEE2E2"/>
          <bgColor rgb="FFFEE2E2"/>
        </patternFill>
      </fill>
      <border/>
    </dxf>
    <dxf>
      <font>
        <color rgb="FF1D4ED8"/>
      </font>
      <fill>
        <patternFill patternType="solid">
          <fgColor rgb="FFDBEAFE"/>
          <bgColor rgb="FFDBEAF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drive.google.com/drive/folders/1qDb6hZW9UcSEvII39KmQ3MyGc4E2E2mw?usp=drive_link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s://my.cytron.io/tutorial/what-is-scada-a-simple-introduction-to-industrial-monitoring" TargetMode="External"/><Relationship Id="rId2" Type="http://schemas.openxmlformats.org/officeDocument/2006/relationships/hyperlink" Target="https://www.youtube.com/shorts/WfHgmy9Kvp8" TargetMode="External"/><Relationship Id="rId3" Type="http://schemas.openxmlformats.org/officeDocument/2006/relationships/hyperlink" Target="https://my.cytron.io/tutorial/how-ai-detects-defects-in-product-quality-inspection" TargetMode="External"/><Relationship Id="rId4" Type="http://schemas.openxmlformats.org/officeDocument/2006/relationships/hyperlink" Target="https://www.youtube.com/shorts/xQniEPTFj9U" TargetMode="External"/><Relationship Id="rId9" Type="http://schemas.openxmlformats.org/officeDocument/2006/relationships/drawing" Target="../drawings/drawing2.xml"/><Relationship Id="rId5" Type="http://schemas.openxmlformats.org/officeDocument/2006/relationships/hyperlink" Target="https://my.cytron.io/tutorial/building-an-industry-dashboard-with-iriv-picontrol" TargetMode="External"/><Relationship Id="rId6" Type="http://schemas.openxmlformats.org/officeDocument/2006/relationships/hyperlink" Target="https://youtu.be/tUEK-JzW9bs?si=ZRfxPGpH4gQSsiEr" TargetMode="External"/><Relationship Id="rId7" Type="http://schemas.openxmlformats.org/officeDocument/2006/relationships/hyperlink" Target="https://my.cytron.io/tutorial/from-plc-to-dashboard-with-node-red" TargetMode="External"/><Relationship Id="rId8" Type="http://schemas.openxmlformats.org/officeDocument/2006/relationships/hyperlink" Target="https://www.youtube.com/shorts/RoTh8YZ8wN4?feature=share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9" width="18.0"/>
  </cols>
  <sheetData>
    <row r="1" ht="33.75" customHeight="1">
      <c r="A1" s="1" t="s">
        <v>0</v>
      </c>
    </row>
    <row r="2" ht="33.75" customHeight="1">
      <c r="A2" s="2" t="s">
        <v>1</v>
      </c>
    </row>
    <row r="4">
      <c r="A4" s="3" t="s">
        <v>2</v>
      </c>
      <c r="C4" s="3" t="s">
        <v>3</v>
      </c>
      <c r="E4" s="3" t="s">
        <v>4</v>
      </c>
      <c r="G4" s="3" t="s">
        <v>5</v>
      </c>
    </row>
    <row r="5">
      <c r="A5" s="4" t="s">
        <v>6</v>
      </c>
      <c r="B5" s="5"/>
      <c r="C5" s="4" t="s">
        <v>7</v>
      </c>
      <c r="D5" s="5"/>
      <c r="E5" s="4" t="s">
        <v>7</v>
      </c>
      <c r="F5" s="5"/>
      <c r="G5" s="4" t="s">
        <v>8</v>
      </c>
      <c r="H5" s="5"/>
      <c r="I5" s="5"/>
    </row>
    <row r="7">
      <c r="A7" s="6" t="s">
        <v>9</v>
      </c>
    </row>
    <row r="8" ht="27.75" customHeight="1">
      <c r="A8" s="7" t="s">
        <v>10</v>
      </c>
      <c r="B8" s="7" t="s">
        <v>11</v>
      </c>
      <c r="C8" s="7" t="s">
        <v>12</v>
      </c>
      <c r="D8" s="7" t="s">
        <v>13</v>
      </c>
      <c r="E8" s="7" t="s">
        <v>14</v>
      </c>
      <c r="F8" s="7" t="s">
        <v>15</v>
      </c>
    </row>
    <row r="9" ht="24.0" customHeight="1">
      <c r="A9" s="8">
        <f>COUNTIF('Content Tracker'!$F$2:$F$102,"Published")+COUNTIF('Content Tracker'!$F$2:$F$102,"Completed")</f>
        <v>4</v>
      </c>
      <c r="B9" s="8">
        <f>COUNTIF('Content Tracker'!$L$2:$L$102,"Yes")</f>
        <v>4</v>
      </c>
      <c r="C9" s="8">
        <f>COUNTIF('Content Tracker'!$N$2:$N$102,"Yes")</f>
        <v>0</v>
      </c>
      <c r="D9" s="8">
        <f>COUNTIF('Weekly Checklist'!$E$2:$E$300,"Done")</f>
        <v>0</v>
      </c>
      <c r="E9" s="8">
        <f>COUNTIF('Weekly Checklist'!$E$2:$E$300,"Blocked")</f>
        <v>0</v>
      </c>
      <c r="F9" s="8">
        <f>SUM('Content Tracker'!$R$2:$R$102)</f>
        <v>0</v>
      </c>
    </row>
    <row r="12" ht="27.75" customHeight="1">
      <c r="A12" s="7" t="s">
        <v>16</v>
      </c>
      <c r="B12" s="7" t="s">
        <v>17</v>
      </c>
      <c r="C12" s="7" t="s">
        <v>10</v>
      </c>
      <c r="D12" s="7" t="s">
        <v>11</v>
      </c>
      <c r="E12" s="7" t="s">
        <v>18</v>
      </c>
    </row>
    <row r="13">
      <c r="A13" s="9" t="s">
        <v>19</v>
      </c>
      <c r="B13" s="9" t="s">
        <v>20</v>
      </c>
      <c r="C13" s="10">
        <v>2.0</v>
      </c>
      <c r="D13" s="10">
        <v>2.0</v>
      </c>
      <c r="E13" s="10">
        <v>0.0</v>
      </c>
    </row>
    <row r="14">
      <c r="A14" s="9" t="s">
        <v>21</v>
      </c>
      <c r="B14" s="9" t="s">
        <v>20</v>
      </c>
      <c r="C14" s="10">
        <v>0.0</v>
      </c>
      <c r="D14" s="10">
        <v>0.0</v>
      </c>
      <c r="E14" s="10">
        <v>0.0</v>
      </c>
    </row>
    <row r="15">
      <c r="A15" s="9" t="s">
        <v>22</v>
      </c>
      <c r="B15" s="9" t="s">
        <v>20</v>
      </c>
      <c r="C15" s="10">
        <v>0.0</v>
      </c>
      <c r="D15" s="10">
        <v>0.0</v>
      </c>
      <c r="E15" s="10">
        <v>0.0</v>
      </c>
    </row>
    <row r="18">
      <c r="A18" s="6" t="s">
        <v>23</v>
      </c>
    </row>
    <row r="19" ht="27.75" customHeight="1">
      <c r="A19" s="11" t="s">
        <v>24</v>
      </c>
      <c r="B19" s="12" t="s">
        <v>25</v>
      </c>
    </row>
    <row r="20" ht="27.75" customHeight="1">
      <c r="A20" s="11" t="s">
        <v>26</v>
      </c>
      <c r="B20" s="12" t="s">
        <v>27</v>
      </c>
    </row>
    <row r="21" ht="42.0" customHeight="1">
      <c r="A21" s="11" t="s">
        <v>28</v>
      </c>
      <c r="B21" s="12" t="s">
        <v>29</v>
      </c>
    </row>
    <row r="22" ht="27.75" customHeight="1">
      <c r="A22" s="11" t="s">
        <v>30</v>
      </c>
      <c r="B22" s="12" t="s">
        <v>31</v>
      </c>
    </row>
    <row r="23" ht="27.75" customHeight="1">
      <c r="A23" s="11" t="s">
        <v>32</v>
      </c>
      <c r="B23" s="12" t="s">
        <v>33</v>
      </c>
    </row>
    <row r="24" ht="42.0" customHeight="1">
      <c r="A24" s="11" t="s">
        <v>34</v>
      </c>
      <c r="B24" s="13" t="s">
        <v>35</v>
      </c>
    </row>
    <row r="25" ht="42.0" customHeight="1">
      <c r="A25" s="11" t="s">
        <v>36</v>
      </c>
      <c r="B25" s="12" t="s">
        <v>37</v>
      </c>
    </row>
    <row r="26" ht="15.75" customHeight="1"/>
    <row r="27" ht="15.75" customHeight="1"/>
    <row r="28" ht="15.75" customHeight="1">
      <c r="A28" s="14" t="s">
        <v>38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A18:I18"/>
    <mergeCell ref="B19:I19"/>
    <mergeCell ref="B20:I20"/>
    <mergeCell ref="B21:I21"/>
    <mergeCell ref="B22:I22"/>
    <mergeCell ref="B23:I23"/>
    <mergeCell ref="B24:I24"/>
    <mergeCell ref="B25:I25"/>
    <mergeCell ref="A1:I1"/>
    <mergeCell ref="A2:I2"/>
    <mergeCell ref="A4:B4"/>
    <mergeCell ref="C4:D4"/>
    <mergeCell ref="E4:F4"/>
    <mergeCell ref="G4:I4"/>
    <mergeCell ref="A7:I7"/>
  </mergeCells>
  <hyperlinks>
    <hyperlink r:id="rId1" ref="A28"/>
  </hyperlink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25"/>
    <col customWidth="1" min="2" max="2" width="20.0"/>
    <col customWidth="1" min="3" max="3" width="36.0"/>
    <col customWidth="1" min="4" max="5" width="22.0"/>
    <col customWidth="1" min="6" max="6" width="18.0"/>
    <col customWidth="1" min="7" max="7" width="12.0"/>
    <col customWidth="1" min="8" max="8" width="18.0"/>
    <col customWidth="1" min="9" max="10" width="14.0"/>
    <col customWidth="1" min="11" max="11" width="34.0"/>
    <col customWidth="1" min="12" max="12" width="16.0"/>
    <col customWidth="1" min="13" max="13" width="28.0"/>
    <col customWidth="1" min="14" max="14" width="18.0"/>
    <col customWidth="1" min="15" max="15" width="22.0"/>
    <col customWidth="1" min="16" max="18" width="16.0"/>
    <col customWidth="1" min="19" max="19" width="34.0"/>
  </cols>
  <sheetData>
    <row r="1">
      <c r="A1" s="15" t="s">
        <v>39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  <c r="G1" s="15" t="s">
        <v>45</v>
      </c>
      <c r="H1" s="15" t="s">
        <v>46</v>
      </c>
      <c r="I1" s="15" t="s">
        <v>47</v>
      </c>
      <c r="J1" s="15" t="s">
        <v>48</v>
      </c>
      <c r="K1" s="15" t="s">
        <v>49</v>
      </c>
      <c r="L1" s="15" t="s">
        <v>50</v>
      </c>
      <c r="M1" s="15" t="s">
        <v>51</v>
      </c>
      <c r="N1" s="15" t="s">
        <v>18</v>
      </c>
      <c r="O1" s="15" t="s">
        <v>52</v>
      </c>
      <c r="P1" s="15" t="s">
        <v>53</v>
      </c>
      <c r="Q1" s="15" t="s">
        <v>54</v>
      </c>
      <c r="R1" s="15" t="s">
        <v>55</v>
      </c>
      <c r="S1" s="15" t="s">
        <v>56</v>
      </c>
    </row>
    <row r="2">
      <c r="A2" s="16" t="s">
        <v>57</v>
      </c>
      <c r="B2" s="16" t="str">
        <f>IFERROR(VLOOKUP(A2,Lists!$A$2:$B$14,2,FALSE),"")</f>
        <v>05 Jul – 11 Jul 2026</v>
      </c>
      <c r="C2" s="16" t="s">
        <v>58</v>
      </c>
      <c r="D2" s="16" t="s">
        <v>59</v>
      </c>
      <c r="E2" s="16" t="s">
        <v>60</v>
      </c>
      <c r="F2" s="16" t="s">
        <v>61</v>
      </c>
      <c r="G2" s="16" t="s">
        <v>62</v>
      </c>
      <c r="H2" s="16" t="s">
        <v>63</v>
      </c>
      <c r="I2" s="17">
        <v>46209.0</v>
      </c>
      <c r="J2" s="17">
        <v>46210.0</v>
      </c>
      <c r="K2" s="18" t="s">
        <v>64</v>
      </c>
      <c r="L2" s="16" t="s">
        <v>65</v>
      </c>
      <c r="M2" s="18" t="s">
        <v>66</v>
      </c>
      <c r="N2" s="16" t="s">
        <v>67</v>
      </c>
      <c r="O2" s="16" t="s">
        <v>68</v>
      </c>
      <c r="P2" s="16"/>
      <c r="Q2" s="16"/>
      <c r="R2" s="16" t="str">
        <f t="shared" ref="R2:R8" si="1">IF(OR(P2="",Q2=""),"",Q2-P2)</f>
        <v/>
      </c>
      <c r="S2" s="16"/>
    </row>
    <row r="3">
      <c r="A3" s="16" t="s">
        <v>57</v>
      </c>
      <c r="B3" s="16" t="str">
        <f>IFERROR(VLOOKUP(A3,Lists!$A$2:$B$14,2,FALSE),"")</f>
        <v>05 Jul – 11 Jul 2026</v>
      </c>
      <c r="C3" s="16" t="s">
        <v>69</v>
      </c>
      <c r="D3" s="16" t="s">
        <v>70</v>
      </c>
      <c r="E3" s="16" t="s">
        <v>60</v>
      </c>
      <c r="F3" s="16" t="s">
        <v>61</v>
      </c>
      <c r="G3" s="16" t="s">
        <v>62</v>
      </c>
      <c r="H3" s="16" t="s">
        <v>63</v>
      </c>
      <c r="I3" s="17">
        <v>46212.0</v>
      </c>
      <c r="J3" s="17">
        <v>46212.0</v>
      </c>
      <c r="K3" s="18" t="s">
        <v>71</v>
      </c>
      <c r="L3" s="16" t="s">
        <v>65</v>
      </c>
      <c r="M3" s="18" t="s">
        <v>72</v>
      </c>
      <c r="N3" s="16" t="s">
        <v>67</v>
      </c>
      <c r="O3" s="16" t="s">
        <v>68</v>
      </c>
      <c r="P3" s="16"/>
      <c r="Q3" s="16"/>
      <c r="R3" s="16" t="str">
        <f t="shared" si="1"/>
        <v/>
      </c>
      <c r="S3" s="16"/>
    </row>
    <row r="4">
      <c r="A4" s="16" t="s">
        <v>73</v>
      </c>
      <c r="B4" s="16" t="str">
        <f>IFERROR(VLOOKUP(A4,Lists!$A$2:$B$14,2,FALSE),"")</f>
        <v>12 Jul – 18 Jul 2026</v>
      </c>
      <c r="C4" s="16" t="s">
        <v>74</v>
      </c>
      <c r="D4" s="16" t="s">
        <v>59</v>
      </c>
      <c r="E4" s="16" t="s">
        <v>60</v>
      </c>
      <c r="F4" s="19" t="s">
        <v>61</v>
      </c>
      <c r="G4" s="16" t="s">
        <v>62</v>
      </c>
      <c r="H4" s="16" t="s">
        <v>63</v>
      </c>
      <c r="I4" s="17">
        <v>46213.0</v>
      </c>
      <c r="J4" s="20" t="s">
        <v>75</v>
      </c>
      <c r="K4" s="21" t="s">
        <v>76</v>
      </c>
      <c r="L4" s="19" t="s">
        <v>65</v>
      </c>
      <c r="M4" s="22" t="s">
        <v>77</v>
      </c>
      <c r="N4" s="16" t="s">
        <v>67</v>
      </c>
      <c r="O4" s="16" t="s">
        <v>68</v>
      </c>
      <c r="P4" s="16"/>
      <c r="Q4" s="16"/>
      <c r="R4" s="16" t="str">
        <f t="shared" si="1"/>
        <v/>
      </c>
      <c r="S4" s="16"/>
    </row>
    <row r="5">
      <c r="A5" s="16" t="s">
        <v>73</v>
      </c>
      <c r="B5" s="16" t="str">
        <f>IFERROR(VLOOKUP(A5,Lists!$A$2:$B$14,2,FALSE),"")</f>
        <v>12 Jul – 18 Jul 2026</v>
      </c>
      <c r="C5" s="19" t="s">
        <v>78</v>
      </c>
      <c r="D5" s="19" t="s">
        <v>59</v>
      </c>
      <c r="E5" s="16" t="s">
        <v>60</v>
      </c>
      <c r="F5" s="19" t="s">
        <v>61</v>
      </c>
      <c r="G5" s="19" t="s">
        <v>62</v>
      </c>
      <c r="H5" s="19" t="s">
        <v>63</v>
      </c>
      <c r="I5" s="20" t="s">
        <v>75</v>
      </c>
      <c r="J5" s="20" t="s">
        <v>79</v>
      </c>
      <c r="K5" s="22" t="s">
        <v>80</v>
      </c>
      <c r="L5" s="19" t="s">
        <v>65</v>
      </c>
      <c r="M5" s="22" t="s">
        <v>81</v>
      </c>
      <c r="N5" s="19" t="s">
        <v>67</v>
      </c>
      <c r="O5" s="19" t="s">
        <v>68</v>
      </c>
      <c r="P5" s="16"/>
      <c r="Q5" s="16"/>
      <c r="R5" s="16" t="str">
        <f t="shared" si="1"/>
        <v/>
      </c>
      <c r="S5" s="16"/>
    </row>
    <row r="6">
      <c r="A6" s="16" t="s">
        <v>73</v>
      </c>
      <c r="B6" s="16" t="str">
        <f>IFERROR(VLOOKUP(A6,Lists!$A$2:$B$14,2,FALSE),"")</f>
        <v>12 Jul – 18 Jul 2026</v>
      </c>
      <c r="C6" s="19" t="s">
        <v>82</v>
      </c>
      <c r="D6" s="19" t="s">
        <v>83</v>
      </c>
      <c r="E6" s="16" t="s">
        <v>60</v>
      </c>
      <c r="F6" s="19" t="s">
        <v>84</v>
      </c>
      <c r="G6" s="19" t="s">
        <v>62</v>
      </c>
      <c r="H6" s="19" t="s">
        <v>63</v>
      </c>
      <c r="I6" s="20" t="s">
        <v>79</v>
      </c>
      <c r="J6" s="17"/>
      <c r="K6" s="16"/>
      <c r="L6" s="19" t="s">
        <v>85</v>
      </c>
      <c r="M6" s="16"/>
      <c r="N6" s="16"/>
      <c r="O6" s="16"/>
      <c r="P6" s="16"/>
      <c r="Q6" s="16"/>
      <c r="R6" s="16" t="str">
        <f t="shared" si="1"/>
        <v/>
      </c>
      <c r="S6" s="16"/>
    </row>
    <row r="7">
      <c r="A7" s="16" t="s">
        <v>86</v>
      </c>
      <c r="B7" s="16" t="str">
        <f>IFERROR(VLOOKUP(A7,Lists!$A$2:$B$14,2,FALSE),"")</f>
        <v>19 Jul – 25 Jul 2026</v>
      </c>
      <c r="C7" s="19" t="s">
        <v>87</v>
      </c>
      <c r="D7" s="19" t="s">
        <v>88</v>
      </c>
      <c r="E7" s="16" t="s">
        <v>60</v>
      </c>
      <c r="F7" s="16"/>
      <c r="G7" s="16"/>
      <c r="H7" s="16"/>
      <c r="I7" s="17"/>
      <c r="J7" s="17"/>
      <c r="K7" s="16"/>
      <c r="L7" s="16"/>
      <c r="M7" s="16"/>
      <c r="N7" s="16"/>
      <c r="O7" s="16"/>
      <c r="P7" s="16"/>
      <c r="Q7" s="16"/>
      <c r="R7" s="16" t="str">
        <f t="shared" si="1"/>
        <v/>
      </c>
      <c r="S7" s="16"/>
    </row>
    <row r="8">
      <c r="A8" s="16" t="s">
        <v>86</v>
      </c>
      <c r="B8" s="16" t="str">
        <f>IFERROR(VLOOKUP(A8,Lists!$A$2:$B$14,2,FALSE),"")</f>
        <v>19 Jul – 25 Jul 2026</v>
      </c>
      <c r="C8" s="16" t="s">
        <v>89</v>
      </c>
      <c r="D8" s="16" t="s">
        <v>70</v>
      </c>
      <c r="E8" s="16" t="s">
        <v>60</v>
      </c>
      <c r="F8" s="16"/>
      <c r="G8" s="16"/>
      <c r="H8" s="16"/>
      <c r="I8" s="17"/>
      <c r="J8" s="17"/>
      <c r="K8" s="16"/>
      <c r="L8" s="16"/>
      <c r="M8" s="16"/>
      <c r="N8" s="16"/>
      <c r="O8" s="16"/>
      <c r="P8" s="16"/>
      <c r="Q8" s="16"/>
      <c r="R8" s="16" t="str">
        <f t="shared" si="1"/>
        <v/>
      </c>
      <c r="S8" s="16"/>
    </row>
    <row r="9">
      <c r="A9" s="19" t="s">
        <v>86</v>
      </c>
      <c r="B9" s="16" t="str">
        <f>IFERROR(VLOOKUP(A9,Lists!$A$2:$B$14,2,FALSE),"")</f>
        <v>19 Jul – 25 Jul 2026</v>
      </c>
      <c r="C9" s="19" t="s">
        <v>90</v>
      </c>
      <c r="D9" s="19" t="s">
        <v>83</v>
      </c>
      <c r="E9" s="16"/>
      <c r="F9" s="16"/>
      <c r="G9" s="16"/>
      <c r="H9" s="16"/>
      <c r="I9" s="17"/>
      <c r="J9" s="17"/>
      <c r="K9" s="16"/>
      <c r="L9" s="16"/>
      <c r="M9" s="16"/>
      <c r="N9" s="16"/>
      <c r="O9" s="16"/>
      <c r="P9" s="16"/>
      <c r="Q9" s="16"/>
      <c r="R9" s="16"/>
      <c r="S9" s="16"/>
    </row>
    <row r="10">
      <c r="A10" s="16" t="s">
        <v>91</v>
      </c>
      <c r="B10" s="16" t="str">
        <f>IFERROR(VLOOKUP(A10,Lists!$A$2:$B$14,2,FALSE),"")</f>
        <v>26 Jul – 01 Aug 2026</v>
      </c>
      <c r="C10" s="16" t="s">
        <v>92</v>
      </c>
      <c r="D10" s="16" t="s">
        <v>93</v>
      </c>
      <c r="E10" s="16" t="s">
        <v>60</v>
      </c>
      <c r="F10" s="16"/>
      <c r="G10" s="16"/>
      <c r="H10" s="16"/>
      <c r="I10" s="17"/>
      <c r="J10" s="17"/>
      <c r="K10" s="16"/>
      <c r="L10" s="16"/>
      <c r="M10" s="16"/>
      <c r="N10" s="16"/>
      <c r="O10" s="16"/>
      <c r="P10" s="16"/>
      <c r="Q10" s="16"/>
      <c r="R10" s="16" t="str">
        <f t="shared" ref="R10:R102" si="2">IF(OR(P10="",Q10=""),"",Q10-P10)</f>
        <v/>
      </c>
      <c r="S10" s="16"/>
    </row>
    <row r="11">
      <c r="A11" s="16" t="s">
        <v>91</v>
      </c>
      <c r="B11" s="16" t="str">
        <f>IFERROR(VLOOKUP(A11,Lists!$A$2:$B$14,2,FALSE),"")</f>
        <v>26 Jul – 01 Aug 2026</v>
      </c>
      <c r="C11" s="16" t="s">
        <v>94</v>
      </c>
      <c r="D11" s="16" t="s">
        <v>88</v>
      </c>
      <c r="E11" s="16" t="s">
        <v>60</v>
      </c>
      <c r="F11" s="16"/>
      <c r="G11" s="16"/>
      <c r="H11" s="16"/>
      <c r="I11" s="17"/>
      <c r="J11" s="17"/>
      <c r="K11" s="16"/>
      <c r="L11" s="16"/>
      <c r="M11" s="16"/>
      <c r="N11" s="16"/>
      <c r="O11" s="16"/>
      <c r="P11" s="16"/>
      <c r="Q11" s="16"/>
      <c r="R11" s="16" t="str">
        <f t="shared" si="2"/>
        <v/>
      </c>
      <c r="S11" s="16"/>
    </row>
    <row r="12">
      <c r="A12" s="16" t="s">
        <v>91</v>
      </c>
      <c r="B12" s="16" t="str">
        <f>IFERROR(VLOOKUP(A12,Lists!$A$2:$B$14,2,FALSE),"")</f>
        <v>26 Jul – 01 Aug 2026</v>
      </c>
      <c r="C12" s="23" t="s">
        <v>95</v>
      </c>
      <c r="D12" s="19" t="s">
        <v>83</v>
      </c>
      <c r="F12" s="16"/>
      <c r="G12" s="16"/>
      <c r="H12" s="16"/>
      <c r="I12" s="17"/>
      <c r="J12" s="17"/>
      <c r="K12" s="16"/>
      <c r="L12" s="16"/>
      <c r="M12" s="16"/>
      <c r="N12" s="16"/>
      <c r="O12" s="16"/>
      <c r="P12" s="16"/>
      <c r="Q12" s="16"/>
      <c r="R12" s="16" t="str">
        <f t="shared" si="2"/>
        <v/>
      </c>
      <c r="S12" s="16"/>
    </row>
    <row r="13">
      <c r="A13" s="16" t="s">
        <v>96</v>
      </c>
      <c r="B13" s="16" t="str">
        <f>IFERROR(VLOOKUP(A13,Lists!$A$2:$B$14,2,FALSE),"")</f>
        <v>02 Aug – 08 Aug 2026</v>
      </c>
      <c r="C13" s="16" t="s">
        <v>97</v>
      </c>
      <c r="D13" s="16" t="s">
        <v>59</v>
      </c>
      <c r="E13" s="16" t="s">
        <v>60</v>
      </c>
      <c r="F13" s="16"/>
      <c r="G13" s="16"/>
      <c r="H13" s="16"/>
      <c r="I13" s="17"/>
      <c r="J13" s="17"/>
      <c r="K13" s="16"/>
      <c r="L13" s="16"/>
      <c r="M13" s="16"/>
      <c r="N13" s="16"/>
      <c r="O13" s="16"/>
      <c r="P13" s="16"/>
      <c r="Q13" s="16"/>
      <c r="R13" s="16" t="str">
        <f t="shared" si="2"/>
        <v/>
      </c>
      <c r="S13" s="16"/>
    </row>
    <row r="14">
      <c r="A14" s="16" t="s">
        <v>96</v>
      </c>
      <c r="B14" s="16" t="str">
        <f>IFERROR(VLOOKUP(A14,Lists!$A$2:$B$14,2,FALSE),"")</f>
        <v>02 Aug – 08 Aug 2026</v>
      </c>
      <c r="C14" s="16" t="s">
        <v>98</v>
      </c>
      <c r="D14" s="16" t="s">
        <v>70</v>
      </c>
      <c r="E14" s="16" t="s">
        <v>60</v>
      </c>
      <c r="F14" s="16"/>
      <c r="G14" s="16"/>
      <c r="H14" s="16"/>
      <c r="I14" s="17"/>
      <c r="J14" s="17"/>
      <c r="K14" s="16"/>
      <c r="L14" s="16"/>
      <c r="M14" s="16"/>
      <c r="N14" s="16"/>
      <c r="O14" s="16"/>
      <c r="P14" s="16"/>
      <c r="Q14" s="16"/>
      <c r="R14" s="16" t="str">
        <f t="shared" si="2"/>
        <v/>
      </c>
      <c r="S14" s="16"/>
    </row>
    <row r="15">
      <c r="A15" s="19" t="s">
        <v>96</v>
      </c>
      <c r="B15" s="16" t="str">
        <f>IFERROR(VLOOKUP(A15,Lists!$A$2:$B$14,2,FALSE),"")</f>
        <v>02 Aug – 08 Aug 2026</v>
      </c>
      <c r="C15" s="23" t="s">
        <v>99</v>
      </c>
      <c r="D15" s="19" t="s">
        <v>83</v>
      </c>
      <c r="F15" s="16"/>
      <c r="G15" s="16"/>
      <c r="H15" s="16"/>
      <c r="I15" s="17"/>
      <c r="J15" s="17"/>
      <c r="K15" s="16"/>
      <c r="L15" s="16"/>
      <c r="M15" s="16"/>
      <c r="N15" s="16"/>
      <c r="O15" s="16"/>
      <c r="P15" s="16"/>
      <c r="Q15" s="16"/>
      <c r="R15" s="16" t="str">
        <f t="shared" si="2"/>
        <v/>
      </c>
      <c r="S15" s="16"/>
    </row>
    <row r="16">
      <c r="A16" s="16" t="s">
        <v>100</v>
      </c>
      <c r="B16" s="16" t="str">
        <f>IFERROR(VLOOKUP(A16,Lists!$A$2:$B$14,2,FALSE),"")</f>
        <v>09 Aug – 15 Aug 2026</v>
      </c>
      <c r="C16" s="16" t="s">
        <v>101</v>
      </c>
      <c r="D16" s="16" t="s">
        <v>70</v>
      </c>
      <c r="E16" s="16" t="s">
        <v>60</v>
      </c>
      <c r="F16" s="16"/>
      <c r="G16" s="16"/>
      <c r="H16" s="16"/>
      <c r="I16" s="17"/>
      <c r="J16" s="17"/>
      <c r="K16" s="16"/>
      <c r="L16" s="16"/>
      <c r="M16" s="16"/>
      <c r="N16" s="16"/>
      <c r="O16" s="16"/>
      <c r="P16" s="16"/>
      <c r="Q16" s="16"/>
      <c r="R16" s="16" t="str">
        <f t="shared" si="2"/>
        <v/>
      </c>
      <c r="S16" s="16"/>
    </row>
    <row r="17">
      <c r="A17" s="16" t="s">
        <v>100</v>
      </c>
      <c r="B17" s="16" t="str">
        <f>IFERROR(VLOOKUP(A17,Lists!$A$2:$B$14,2,FALSE),"")</f>
        <v>09 Aug – 15 Aug 2026</v>
      </c>
      <c r="C17" s="16" t="s">
        <v>102</v>
      </c>
      <c r="D17" s="16" t="s">
        <v>59</v>
      </c>
      <c r="E17" s="16" t="s">
        <v>60</v>
      </c>
      <c r="F17" s="16"/>
      <c r="G17" s="16"/>
      <c r="H17" s="16"/>
      <c r="I17" s="17"/>
      <c r="J17" s="17"/>
      <c r="K17" s="16"/>
      <c r="L17" s="16"/>
      <c r="M17" s="16"/>
      <c r="N17" s="16"/>
      <c r="O17" s="16"/>
      <c r="P17" s="16"/>
      <c r="Q17" s="16"/>
      <c r="R17" s="16" t="str">
        <f t="shared" si="2"/>
        <v/>
      </c>
      <c r="S17" s="16"/>
    </row>
    <row r="18">
      <c r="A18" s="19" t="s">
        <v>100</v>
      </c>
      <c r="B18" s="16" t="str">
        <f>IFERROR(VLOOKUP(A18,Lists!$A$2:$B$14,2,FALSE),"")</f>
        <v>09 Aug – 15 Aug 2026</v>
      </c>
      <c r="C18" s="24"/>
      <c r="D18" s="25"/>
      <c r="F18" s="16"/>
      <c r="G18" s="16"/>
      <c r="H18" s="16"/>
      <c r="I18" s="17"/>
      <c r="J18" s="17"/>
      <c r="K18" s="16"/>
      <c r="L18" s="16"/>
      <c r="M18" s="16"/>
      <c r="N18" s="16"/>
      <c r="O18" s="16"/>
      <c r="P18" s="16"/>
      <c r="Q18" s="16"/>
      <c r="R18" s="16" t="str">
        <f t="shared" si="2"/>
        <v/>
      </c>
      <c r="S18" s="16"/>
    </row>
    <row r="19">
      <c r="A19" s="16" t="s">
        <v>103</v>
      </c>
      <c r="B19" s="16" t="str">
        <f>IFERROR(VLOOKUP(A19,Lists!$A$2:$B$14,2,FALSE),"")</f>
        <v>16 Aug – 22 Aug 2026</v>
      </c>
      <c r="C19" s="16" t="s">
        <v>104</v>
      </c>
      <c r="D19" s="16" t="s">
        <v>70</v>
      </c>
      <c r="E19" s="16" t="s">
        <v>60</v>
      </c>
      <c r="F19" s="16"/>
      <c r="G19" s="16"/>
      <c r="H19" s="16"/>
      <c r="I19" s="17"/>
      <c r="J19" s="17"/>
      <c r="K19" s="16"/>
      <c r="L19" s="16"/>
      <c r="M19" s="16"/>
      <c r="N19" s="16"/>
      <c r="O19" s="16"/>
      <c r="P19" s="16"/>
      <c r="Q19" s="16"/>
      <c r="R19" s="16" t="str">
        <f t="shared" si="2"/>
        <v/>
      </c>
      <c r="S19" s="16"/>
    </row>
    <row r="20">
      <c r="A20" s="19" t="s">
        <v>103</v>
      </c>
      <c r="B20" s="16" t="str">
        <f>IFERROR(VLOOKUP(A20,Lists!$A$2:$B$14,2,FALSE),"")</f>
        <v>16 Aug – 22 Aug 2026</v>
      </c>
      <c r="C20" s="16" t="s">
        <v>105</v>
      </c>
      <c r="D20" s="16" t="s">
        <v>59</v>
      </c>
      <c r="E20" s="16" t="s">
        <v>60</v>
      </c>
      <c r="F20" s="16"/>
      <c r="G20" s="16"/>
      <c r="H20" s="16"/>
      <c r="I20" s="17"/>
      <c r="J20" s="17"/>
      <c r="K20" s="16"/>
      <c r="L20" s="16"/>
      <c r="M20" s="16"/>
      <c r="N20" s="16"/>
      <c r="O20" s="16"/>
      <c r="P20" s="16"/>
      <c r="Q20" s="16"/>
      <c r="R20" s="16" t="str">
        <f t="shared" si="2"/>
        <v/>
      </c>
      <c r="S20" s="16"/>
    </row>
    <row r="21">
      <c r="A21" s="19" t="s">
        <v>103</v>
      </c>
      <c r="B21" s="16" t="str">
        <f>IFERROR(VLOOKUP(A21,Lists!$A$2:$B$14,2,FALSE),"")</f>
        <v>16 Aug – 22 Aug 2026</v>
      </c>
      <c r="D21" s="25"/>
      <c r="F21" s="16"/>
      <c r="G21" s="16"/>
      <c r="H21" s="16"/>
      <c r="I21" s="17"/>
      <c r="J21" s="17"/>
      <c r="K21" s="16"/>
      <c r="L21" s="16"/>
      <c r="M21" s="16"/>
      <c r="N21" s="16"/>
      <c r="O21" s="16"/>
      <c r="P21" s="16"/>
      <c r="Q21" s="16"/>
      <c r="R21" s="16" t="str">
        <f t="shared" si="2"/>
        <v/>
      </c>
      <c r="S21" s="16"/>
    </row>
    <row r="22" ht="15.75" customHeight="1">
      <c r="A22" s="16" t="s">
        <v>106</v>
      </c>
      <c r="B22" s="16" t="str">
        <f>IFERROR(VLOOKUP(A22,Lists!$A$2:$B$14,2,FALSE),"")</f>
        <v>23 Aug – 29 Aug 2026</v>
      </c>
      <c r="C22" s="16" t="s">
        <v>107</v>
      </c>
      <c r="D22" s="16" t="s">
        <v>88</v>
      </c>
      <c r="F22" s="16"/>
      <c r="G22" s="16"/>
      <c r="H22" s="16"/>
      <c r="I22" s="17"/>
      <c r="J22" s="17"/>
      <c r="K22" s="16"/>
      <c r="L22" s="16"/>
      <c r="M22" s="16"/>
      <c r="N22" s="16"/>
      <c r="O22" s="16"/>
      <c r="P22" s="16"/>
      <c r="Q22" s="16"/>
      <c r="R22" s="16" t="str">
        <f t="shared" si="2"/>
        <v/>
      </c>
      <c r="S22" s="16"/>
    </row>
    <row r="23" ht="15.75" customHeight="1">
      <c r="A23" s="19" t="s">
        <v>106</v>
      </c>
      <c r="B23" s="16" t="str">
        <f>IFERROR(VLOOKUP(A23,Lists!$A$2:$B$14,2,FALSE),"")</f>
        <v>23 Aug – 29 Aug 2026</v>
      </c>
      <c r="D23" s="25"/>
      <c r="F23" s="16"/>
      <c r="G23" s="16"/>
      <c r="H23" s="16"/>
      <c r="I23" s="17"/>
      <c r="J23" s="17"/>
      <c r="K23" s="16"/>
      <c r="L23" s="16"/>
      <c r="M23" s="16"/>
      <c r="N23" s="16"/>
      <c r="O23" s="16"/>
      <c r="P23" s="16"/>
      <c r="Q23" s="16"/>
      <c r="R23" s="16" t="str">
        <f t="shared" si="2"/>
        <v/>
      </c>
      <c r="S23" s="16"/>
    </row>
    <row r="24" ht="15.75" customHeight="1">
      <c r="A24" s="19" t="s">
        <v>106</v>
      </c>
      <c r="B24" s="16" t="str">
        <f>IFERROR(VLOOKUP(A24,Lists!$A$2:$B$14,2,FALSE),"")</f>
        <v>23 Aug – 29 Aug 2026</v>
      </c>
      <c r="D24" s="25"/>
      <c r="F24" s="16"/>
      <c r="G24" s="16"/>
      <c r="H24" s="16"/>
      <c r="I24" s="17"/>
      <c r="J24" s="17"/>
      <c r="K24" s="16"/>
      <c r="L24" s="16"/>
      <c r="M24" s="16"/>
      <c r="N24" s="16"/>
      <c r="O24" s="16"/>
      <c r="P24" s="16"/>
      <c r="Q24" s="16"/>
      <c r="R24" s="16" t="str">
        <f t="shared" si="2"/>
        <v/>
      </c>
      <c r="S24" s="16"/>
    </row>
    <row r="25" ht="15.75" customHeight="1">
      <c r="A25" s="19" t="s">
        <v>108</v>
      </c>
      <c r="B25" s="16" t="str">
        <f>IFERROR(VLOOKUP(A25,Lists!$A$2:$B$14,2,FALSE),"")</f>
        <v>30 Aug – 05 Sep 2026</v>
      </c>
      <c r="D25" s="25"/>
      <c r="F25" s="16"/>
      <c r="G25" s="16"/>
      <c r="H25" s="16"/>
      <c r="I25" s="17"/>
      <c r="J25" s="17"/>
      <c r="K25" s="16"/>
      <c r="L25" s="16"/>
      <c r="M25" s="16"/>
      <c r="N25" s="16"/>
      <c r="O25" s="16"/>
      <c r="P25" s="16"/>
      <c r="Q25" s="16"/>
      <c r="R25" s="16" t="str">
        <f t="shared" si="2"/>
        <v/>
      </c>
      <c r="S25" s="16"/>
    </row>
    <row r="26" ht="15.75" customHeight="1">
      <c r="A26" s="19" t="s">
        <v>108</v>
      </c>
      <c r="B26" s="16" t="str">
        <f>IFERROR(VLOOKUP(A26,Lists!$A$2:$B$14,2,FALSE),"")</f>
        <v>30 Aug – 05 Sep 2026</v>
      </c>
      <c r="D26" s="25"/>
      <c r="F26" s="16"/>
      <c r="G26" s="16"/>
      <c r="H26" s="16"/>
      <c r="I26" s="17"/>
      <c r="J26" s="17"/>
      <c r="K26" s="16"/>
      <c r="L26" s="16"/>
      <c r="M26" s="16"/>
      <c r="N26" s="16"/>
      <c r="O26" s="16"/>
      <c r="P26" s="16"/>
      <c r="Q26" s="16"/>
      <c r="R26" s="16" t="str">
        <f t="shared" si="2"/>
        <v/>
      </c>
      <c r="S26" s="16"/>
    </row>
    <row r="27" ht="15.75" customHeight="1">
      <c r="A27" s="19" t="s">
        <v>108</v>
      </c>
      <c r="B27" s="16" t="str">
        <f>IFERROR(VLOOKUP(A27,Lists!$A$2:$B$14,2,FALSE),"")</f>
        <v>30 Aug – 05 Sep 2026</v>
      </c>
      <c r="D27" s="25"/>
      <c r="E27" s="16"/>
      <c r="F27" s="16"/>
      <c r="G27" s="16"/>
      <c r="H27" s="16"/>
      <c r="I27" s="17"/>
      <c r="J27" s="17"/>
      <c r="K27" s="16"/>
      <c r="L27" s="16"/>
      <c r="M27" s="16"/>
      <c r="N27" s="16"/>
      <c r="O27" s="16"/>
      <c r="P27" s="16"/>
      <c r="Q27" s="16"/>
      <c r="R27" s="16" t="str">
        <f t="shared" si="2"/>
        <v/>
      </c>
      <c r="S27" s="16"/>
    </row>
    <row r="28" ht="15.75" customHeight="1">
      <c r="A28" s="19" t="s">
        <v>109</v>
      </c>
      <c r="B28" s="16" t="str">
        <f>IFERROR(VLOOKUP(A28,Lists!$A$2:$B$14,2,FALSE),"")</f>
        <v>06 Sep – 12 Sep 2026</v>
      </c>
      <c r="C28" s="16"/>
      <c r="D28" s="16"/>
      <c r="E28" s="16"/>
      <c r="F28" s="16"/>
      <c r="G28" s="16"/>
      <c r="H28" s="16"/>
      <c r="I28" s="17"/>
      <c r="J28" s="17"/>
      <c r="K28" s="16"/>
      <c r="L28" s="16"/>
      <c r="M28" s="16"/>
      <c r="N28" s="16"/>
      <c r="O28" s="16"/>
      <c r="P28" s="16"/>
      <c r="Q28" s="16"/>
      <c r="R28" s="16" t="str">
        <f t="shared" si="2"/>
        <v/>
      </c>
      <c r="S28" s="16"/>
    </row>
    <row r="29" ht="15.75" customHeight="1">
      <c r="A29" s="19" t="s">
        <v>109</v>
      </c>
      <c r="B29" s="16" t="str">
        <f>IFERROR(VLOOKUP(A29,Lists!$A$2:$B$14,2,FALSE),"")</f>
        <v>06 Sep – 12 Sep 2026</v>
      </c>
      <c r="C29" s="16"/>
      <c r="D29" s="16"/>
      <c r="E29" s="16"/>
      <c r="F29" s="16"/>
      <c r="G29" s="16"/>
      <c r="H29" s="16"/>
      <c r="I29" s="17"/>
      <c r="J29" s="17"/>
      <c r="K29" s="16"/>
      <c r="L29" s="16"/>
      <c r="M29" s="16"/>
      <c r="N29" s="16"/>
      <c r="O29" s="16"/>
      <c r="P29" s="16"/>
      <c r="Q29" s="16"/>
      <c r="R29" s="16" t="str">
        <f t="shared" si="2"/>
        <v/>
      </c>
      <c r="S29" s="16"/>
    </row>
    <row r="30" ht="15.75" customHeight="1">
      <c r="A30" s="19" t="s">
        <v>109</v>
      </c>
      <c r="B30" s="16" t="str">
        <f>IFERROR(VLOOKUP(A30,Lists!$A$2:$B$14,2,FALSE),"")</f>
        <v>06 Sep – 12 Sep 2026</v>
      </c>
      <c r="C30" s="16"/>
      <c r="D30" s="16"/>
      <c r="E30" s="16"/>
      <c r="F30" s="16"/>
      <c r="G30" s="16"/>
      <c r="H30" s="16"/>
      <c r="I30" s="17"/>
      <c r="J30" s="17"/>
      <c r="K30" s="16"/>
      <c r="L30" s="16"/>
      <c r="M30" s="16"/>
      <c r="N30" s="16"/>
      <c r="O30" s="16"/>
      <c r="P30" s="16"/>
      <c r="Q30" s="16"/>
      <c r="R30" s="16" t="str">
        <f t="shared" si="2"/>
        <v/>
      </c>
      <c r="S30" s="16"/>
    </row>
    <row r="31" ht="15.75" customHeight="1">
      <c r="A31" s="19" t="s">
        <v>110</v>
      </c>
      <c r="B31" s="16" t="str">
        <f>IFERROR(VLOOKUP(A31,Lists!$A$2:$B$14,2,FALSE),"")</f>
        <v>13 Sep – 19 Sep 2026</v>
      </c>
      <c r="C31" s="16"/>
      <c r="D31" s="16"/>
      <c r="E31" s="16"/>
      <c r="F31" s="16"/>
      <c r="G31" s="16"/>
      <c r="H31" s="16"/>
      <c r="I31" s="17"/>
      <c r="J31" s="17"/>
      <c r="K31" s="16"/>
      <c r="L31" s="16"/>
      <c r="M31" s="16"/>
      <c r="N31" s="16"/>
      <c r="O31" s="16"/>
      <c r="P31" s="16"/>
      <c r="Q31" s="16"/>
      <c r="R31" s="16" t="str">
        <f t="shared" si="2"/>
        <v/>
      </c>
      <c r="S31" s="16"/>
    </row>
    <row r="32" ht="15.75" customHeight="1">
      <c r="A32" s="19" t="s">
        <v>110</v>
      </c>
      <c r="B32" s="16" t="str">
        <f>IFERROR(VLOOKUP(A32,Lists!$A$2:$B$14,2,FALSE),"")</f>
        <v>13 Sep – 19 Sep 2026</v>
      </c>
      <c r="C32" s="16"/>
      <c r="D32" s="16"/>
      <c r="E32" s="16"/>
      <c r="F32" s="16"/>
      <c r="G32" s="16"/>
      <c r="H32" s="16"/>
      <c r="I32" s="17"/>
      <c r="J32" s="17"/>
      <c r="K32" s="16"/>
      <c r="L32" s="16"/>
      <c r="M32" s="16"/>
      <c r="N32" s="16"/>
      <c r="O32" s="16"/>
      <c r="P32" s="16"/>
      <c r="Q32" s="16"/>
      <c r="R32" s="16" t="str">
        <f t="shared" si="2"/>
        <v/>
      </c>
      <c r="S32" s="16"/>
    </row>
    <row r="33" ht="15.75" customHeight="1">
      <c r="A33" s="19" t="s">
        <v>110</v>
      </c>
      <c r="B33" s="16" t="str">
        <f>IFERROR(VLOOKUP(A33,Lists!$A$2:$B$14,2,FALSE),"")</f>
        <v>13 Sep – 19 Sep 2026</v>
      </c>
      <c r="C33" s="16"/>
      <c r="D33" s="16"/>
      <c r="E33" s="16"/>
      <c r="F33" s="16"/>
      <c r="G33" s="16"/>
      <c r="H33" s="16"/>
      <c r="I33" s="17"/>
      <c r="J33" s="17"/>
      <c r="K33" s="16"/>
      <c r="L33" s="16"/>
      <c r="M33" s="16"/>
      <c r="N33" s="16"/>
      <c r="O33" s="16"/>
      <c r="P33" s="16"/>
      <c r="Q33" s="16"/>
      <c r="R33" s="16" t="str">
        <f t="shared" si="2"/>
        <v/>
      </c>
      <c r="S33" s="16"/>
    </row>
    <row r="34" ht="15.75" customHeight="1">
      <c r="A34" s="19" t="s">
        <v>111</v>
      </c>
      <c r="B34" s="16" t="str">
        <f>IFERROR(VLOOKUP(A34,Lists!$A$2:$B$14,2,FALSE),"")</f>
        <v>20 Sep – 26 Sep 2026</v>
      </c>
      <c r="C34" s="16"/>
      <c r="D34" s="16"/>
      <c r="E34" s="16"/>
      <c r="F34" s="16"/>
      <c r="G34" s="16"/>
      <c r="H34" s="16"/>
      <c r="I34" s="17"/>
      <c r="J34" s="17"/>
      <c r="K34" s="16"/>
      <c r="L34" s="16"/>
      <c r="M34" s="16"/>
      <c r="N34" s="16"/>
      <c r="O34" s="16"/>
      <c r="P34" s="16"/>
      <c r="Q34" s="16"/>
      <c r="R34" s="16" t="str">
        <f t="shared" si="2"/>
        <v/>
      </c>
      <c r="S34" s="16"/>
    </row>
    <row r="35" ht="15.75" customHeight="1">
      <c r="A35" s="19" t="s">
        <v>111</v>
      </c>
      <c r="B35" s="16" t="str">
        <f>IFERROR(VLOOKUP(A35,Lists!$A$2:$B$14,2,FALSE),"")</f>
        <v>20 Sep – 26 Sep 2026</v>
      </c>
      <c r="C35" s="16"/>
      <c r="D35" s="16"/>
      <c r="E35" s="16"/>
      <c r="F35" s="16"/>
      <c r="G35" s="16"/>
      <c r="H35" s="16"/>
      <c r="I35" s="17"/>
      <c r="J35" s="17"/>
      <c r="K35" s="16"/>
      <c r="L35" s="16"/>
      <c r="M35" s="16"/>
      <c r="N35" s="16"/>
      <c r="O35" s="16"/>
      <c r="P35" s="16"/>
      <c r="Q35" s="16"/>
      <c r="R35" s="16" t="str">
        <f t="shared" si="2"/>
        <v/>
      </c>
      <c r="S35" s="16"/>
    </row>
    <row r="36" ht="15.75" customHeight="1">
      <c r="A36" s="19" t="s">
        <v>111</v>
      </c>
      <c r="B36" s="16" t="str">
        <f>IFERROR(VLOOKUP(A36,Lists!$A$2:$B$14,2,FALSE),"")</f>
        <v>20 Sep – 26 Sep 2026</v>
      </c>
      <c r="C36" s="16"/>
      <c r="D36" s="16"/>
      <c r="E36" s="16"/>
      <c r="F36" s="16"/>
      <c r="G36" s="16"/>
      <c r="H36" s="16"/>
      <c r="I36" s="17"/>
      <c r="J36" s="17"/>
      <c r="K36" s="16"/>
      <c r="L36" s="16"/>
      <c r="M36" s="16"/>
      <c r="N36" s="16"/>
      <c r="O36" s="16"/>
      <c r="P36" s="16"/>
      <c r="Q36" s="16"/>
      <c r="R36" s="16" t="str">
        <f t="shared" si="2"/>
        <v/>
      </c>
      <c r="S36" s="16"/>
    </row>
    <row r="37" ht="15.75" customHeight="1">
      <c r="A37" s="19" t="s">
        <v>112</v>
      </c>
      <c r="B37" s="16" t="str">
        <f>IFERROR(VLOOKUP(A37,Lists!$A$2:$B$14,2,FALSE),"")</f>
        <v>27 Sep – 03 Oct 2026</v>
      </c>
      <c r="C37" s="16"/>
      <c r="D37" s="16"/>
      <c r="E37" s="16"/>
      <c r="F37" s="16"/>
      <c r="G37" s="16"/>
      <c r="H37" s="16"/>
      <c r="I37" s="17"/>
      <c r="J37" s="17"/>
      <c r="K37" s="16"/>
      <c r="L37" s="16"/>
      <c r="M37" s="16"/>
      <c r="N37" s="16"/>
      <c r="O37" s="16"/>
      <c r="P37" s="16"/>
      <c r="Q37" s="16"/>
      <c r="R37" s="16" t="str">
        <f t="shared" si="2"/>
        <v/>
      </c>
      <c r="S37" s="16"/>
    </row>
    <row r="38" ht="15.75" customHeight="1">
      <c r="A38" s="19" t="s">
        <v>112</v>
      </c>
      <c r="B38" s="16" t="str">
        <f>IFERROR(VLOOKUP(A38,Lists!$A$2:$B$14,2,FALSE),"")</f>
        <v>27 Sep – 03 Oct 2026</v>
      </c>
      <c r="C38" s="16"/>
      <c r="D38" s="16"/>
      <c r="E38" s="16"/>
      <c r="F38" s="16"/>
      <c r="G38" s="16"/>
      <c r="H38" s="16"/>
      <c r="I38" s="17"/>
      <c r="J38" s="17"/>
      <c r="K38" s="16"/>
      <c r="L38" s="16"/>
      <c r="M38" s="16"/>
      <c r="N38" s="16"/>
      <c r="O38" s="16"/>
      <c r="P38" s="16"/>
      <c r="Q38" s="16"/>
      <c r="R38" s="16" t="str">
        <f t="shared" si="2"/>
        <v/>
      </c>
      <c r="S38" s="16"/>
    </row>
    <row r="39" ht="15.75" customHeight="1">
      <c r="A39" s="19" t="s">
        <v>112</v>
      </c>
      <c r="B39" s="16" t="str">
        <f>IFERROR(VLOOKUP(A39,Lists!$A$2:$B$14,2,FALSE),"")</f>
        <v>27 Sep – 03 Oct 2026</v>
      </c>
      <c r="C39" s="16"/>
      <c r="D39" s="16"/>
      <c r="E39" s="16"/>
      <c r="F39" s="16"/>
      <c r="G39" s="16"/>
      <c r="H39" s="16"/>
      <c r="I39" s="17"/>
      <c r="J39" s="17"/>
      <c r="K39" s="16"/>
      <c r="L39" s="16"/>
      <c r="M39" s="16"/>
      <c r="N39" s="16"/>
      <c r="O39" s="16"/>
      <c r="P39" s="16"/>
      <c r="Q39" s="16"/>
      <c r="R39" s="16" t="str">
        <f t="shared" si="2"/>
        <v/>
      </c>
      <c r="S39" s="16"/>
    </row>
    <row r="40" ht="15.75" customHeight="1">
      <c r="A40" s="16"/>
      <c r="B40" s="16" t="str">
        <f>IFERROR(VLOOKUP(A40,Lists!$A$2:$B$14,2,FALSE),"")</f>
        <v/>
      </c>
      <c r="C40" s="16"/>
      <c r="D40" s="16"/>
      <c r="E40" s="16"/>
      <c r="F40" s="16"/>
      <c r="G40" s="16"/>
      <c r="H40" s="16"/>
      <c r="I40" s="17"/>
      <c r="J40" s="17"/>
      <c r="K40" s="16"/>
      <c r="L40" s="16"/>
      <c r="M40" s="16"/>
      <c r="N40" s="16"/>
      <c r="O40" s="16"/>
      <c r="P40" s="16"/>
      <c r="Q40" s="16"/>
      <c r="R40" s="16" t="str">
        <f t="shared" si="2"/>
        <v/>
      </c>
      <c r="S40" s="16"/>
    </row>
    <row r="41" ht="15.75" customHeight="1">
      <c r="A41" s="16"/>
      <c r="B41" s="16" t="str">
        <f>IFERROR(VLOOKUP(A41,Lists!$A$2:$B$14,2,FALSE),"")</f>
        <v/>
      </c>
      <c r="C41" s="16"/>
      <c r="D41" s="16"/>
      <c r="E41" s="16"/>
      <c r="F41" s="16"/>
      <c r="G41" s="16"/>
      <c r="H41" s="16"/>
      <c r="I41" s="17"/>
      <c r="J41" s="17"/>
      <c r="K41" s="16"/>
      <c r="L41" s="16"/>
      <c r="M41" s="16"/>
      <c r="N41" s="16"/>
      <c r="O41" s="16"/>
      <c r="P41" s="16"/>
      <c r="Q41" s="16"/>
      <c r="R41" s="16" t="str">
        <f t="shared" si="2"/>
        <v/>
      </c>
      <c r="S41" s="16"/>
    </row>
    <row r="42" ht="15.75" customHeight="1">
      <c r="A42" s="16"/>
      <c r="B42" s="16" t="str">
        <f>IFERROR(VLOOKUP(A42,Lists!$A$2:$B$14,2,FALSE),"")</f>
        <v/>
      </c>
      <c r="C42" s="16"/>
      <c r="D42" s="16"/>
      <c r="E42" s="16"/>
      <c r="F42" s="16"/>
      <c r="G42" s="16"/>
      <c r="H42" s="16"/>
      <c r="I42" s="17"/>
      <c r="J42" s="17"/>
      <c r="K42" s="16"/>
      <c r="L42" s="16"/>
      <c r="M42" s="16"/>
      <c r="N42" s="16"/>
      <c r="O42" s="16"/>
      <c r="P42" s="16"/>
      <c r="Q42" s="16"/>
      <c r="R42" s="16" t="str">
        <f t="shared" si="2"/>
        <v/>
      </c>
      <c r="S42" s="16"/>
    </row>
    <row r="43" ht="15.75" customHeight="1">
      <c r="A43" s="16"/>
      <c r="B43" s="16" t="str">
        <f>IFERROR(VLOOKUP(A43,Lists!$A$2:$B$14,2,FALSE),"")</f>
        <v/>
      </c>
      <c r="C43" s="16"/>
      <c r="D43" s="16"/>
      <c r="E43" s="16"/>
      <c r="F43" s="16"/>
      <c r="G43" s="16"/>
      <c r="H43" s="16"/>
      <c r="I43" s="17"/>
      <c r="J43" s="17"/>
      <c r="K43" s="16"/>
      <c r="L43" s="16"/>
      <c r="M43" s="16"/>
      <c r="N43" s="16"/>
      <c r="O43" s="16"/>
      <c r="P43" s="16"/>
      <c r="Q43" s="16"/>
      <c r="R43" s="16" t="str">
        <f t="shared" si="2"/>
        <v/>
      </c>
      <c r="S43" s="16"/>
    </row>
    <row r="44" ht="15.75" customHeight="1">
      <c r="A44" s="16"/>
      <c r="B44" s="16" t="str">
        <f>IFERROR(VLOOKUP(A44,Lists!$A$2:$B$14,2,FALSE),"")</f>
        <v/>
      </c>
      <c r="C44" s="16"/>
      <c r="D44" s="16"/>
      <c r="E44" s="16"/>
      <c r="F44" s="16"/>
      <c r="G44" s="16"/>
      <c r="H44" s="16"/>
      <c r="I44" s="17"/>
      <c r="J44" s="17"/>
      <c r="K44" s="16"/>
      <c r="L44" s="16"/>
      <c r="M44" s="16"/>
      <c r="N44" s="16"/>
      <c r="O44" s="16"/>
      <c r="P44" s="16"/>
      <c r="Q44" s="16"/>
      <c r="R44" s="16" t="str">
        <f t="shared" si="2"/>
        <v/>
      </c>
      <c r="S44" s="16"/>
    </row>
    <row r="45" ht="15.75" customHeight="1">
      <c r="A45" s="16"/>
      <c r="B45" s="16" t="str">
        <f>IFERROR(VLOOKUP(A45,Lists!$A$2:$B$14,2,FALSE),"")</f>
        <v/>
      </c>
      <c r="C45" s="16"/>
      <c r="D45" s="16"/>
      <c r="E45" s="16"/>
      <c r="F45" s="16"/>
      <c r="G45" s="16"/>
      <c r="H45" s="16"/>
      <c r="I45" s="17"/>
      <c r="J45" s="17"/>
      <c r="K45" s="16"/>
      <c r="L45" s="16"/>
      <c r="M45" s="16"/>
      <c r="N45" s="16"/>
      <c r="O45" s="16"/>
      <c r="P45" s="16"/>
      <c r="Q45" s="16"/>
      <c r="R45" s="16" t="str">
        <f t="shared" si="2"/>
        <v/>
      </c>
      <c r="S45" s="16"/>
    </row>
    <row r="46" ht="15.75" customHeight="1">
      <c r="A46" s="16"/>
      <c r="B46" s="16" t="str">
        <f>IFERROR(VLOOKUP(A46,Lists!$A$2:$B$14,2,FALSE),"")</f>
        <v/>
      </c>
      <c r="C46" s="16"/>
      <c r="D46" s="16"/>
      <c r="E46" s="16"/>
      <c r="F46" s="16"/>
      <c r="G46" s="16"/>
      <c r="H46" s="16"/>
      <c r="I46" s="17"/>
      <c r="J46" s="17"/>
      <c r="K46" s="16"/>
      <c r="L46" s="16"/>
      <c r="M46" s="16"/>
      <c r="N46" s="16"/>
      <c r="O46" s="16"/>
      <c r="P46" s="16"/>
      <c r="Q46" s="16"/>
      <c r="R46" s="16" t="str">
        <f t="shared" si="2"/>
        <v/>
      </c>
      <c r="S46" s="16"/>
    </row>
    <row r="47" ht="15.75" customHeight="1">
      <c r="A47" s="16"/>
      <c r="B47" s="16" t="str">
        <f>IFERROR(VLOOKUP(A47,Lists!$A$2:$B$14,2,FALSE),"")</f>
        <v/>
      </c>
      <c r="C47" s="16"/>
      <c r="D47" s="16"/>
      <c r="E47" s="16"/>
      <c r="F47" s="16"/>
      <c r="G47" s="16"/>
      <c r="H47" s="16"/>
      <c r="I47" s="17"/>
      <c r="J47" s="17"/>
      <c r="K47" s="16"/>
      <c r="L47" s="16"/>
      <c r="M47" s="16"/>
      <c r="N47" s="16"/>
      <c r="O47" s="16"/>
      <c r="P47" s="16"/>
      <c r="Q47" s="16"/>
      <c r="R47" s="16" t="str">
        <f t="shared" si="2"/>
        <v/>
      </c>
      <c r="S47" s="16"/>
    </row>
    <row r="48" ht="15.75" customHeight="1">
      <c r="A48" s="16"/>
      <c r="B48" s="16" t="str">
        <f>IFERROR(VLOOKUP(A48,Lists!$A$2:$B$14,2,FALSE),"")</f>
        <v/>
      </c>
      <c r="C48" s="16"/>
      <c r="D48" s="16"/>
      <c r="E48" s="16"/>
      <c r="F48" s="16"/>
      <c r="G48" s="16"/>
      <c r="H48" s="16"/>
      <c r="I48" s="17"/>
      <c r="J48" s="17"/>
      <c r="K48" s="16"/>
      <c r="L48" s="16"/>
      <c r="M48" s="16"/>
      <c r="N48" s="16"/>
      <c r="O48" s="16"/>
      <c r="P48" s="16"/>
      <c r="Q48" s="16"/>
      <c r="R48" s="16" t="str">
        <f t="shared" si="2"/>
        <v/>
      </c>
      <c r="S48" s="16"/>
    </row>
    <row r="49" ht="15.75" customHeight="1">
      <c r="A49" s="16"/>
      <c r="B49" s="16" t="str">
        <f>IFERROR(VLOOKUP(A49,Lists!$A$2:$B$14,2,FALSE),"")</f>
        <v/>
      </c>
      <c r="C49" s="16"/>
      <c r="D49" s="16"/>
      <c r="E49" s="16"/>
      <c r="F49" s="16"/>
      <c r="G49" s="16"/>
      <c r="H49" s="16"/>
      <c r="I49" s="17"/>
      <c r="J49" s="17"/>
      <c r="K49" s="16"/>
      <c r="L49" s="16"/>
      <c r="M49" s="16"/>
      <c r="N49" s="16"/>
      <c r="O49" s="16"/>
      <c r="P49" s="16"/>
      <c r="Q49" s="16"/>
      <c r="R49" s="16" t="str">
        <f t="shared" si="2"/>
        <v/>
      </c>
      <c r="S49" s="16"/>
    </row>
    <row r="50" ht="15.75" customHeight="1">
      <c r="A50" s="16"/>
      <c r="B50" s="16" t="str">
        <f>IFERROR(VLOOKUP(A50,Lists!$A$2:$B$14,2,FALSE),"")</f>
        <v/>
      </c>
      <c r="C50" s="16"/>
      <c r="D50" s="16"/>
      <c r="E50" s="16"/>
      <c r="F50" s="16"/>
      <c r="G50" s="16"/>
      <c r="H50" s="16"/>
      <c r="I50" s="17"/>
      <c r="J50" s="17"/>
      <c r="K50" s="16"/>
      <c r="L50" s="16"/>
      <c r="M50" s="16"/>
      <c r="N50" s="16"/>
      <c r="O50" s="16"/>
      <c r="P50" s="16"/>
      <c r="Q50" s="16"/>
      <c r="R50" s="16" t="str">
        <f t="shared" si="2"/>
        <v/>
      </c>
      <c r="S50" s="16"/>
    </row>
    <row r="51" ht="15.75" customHeight="1">
      <c r="A51" s="16"/>
      <c r="B51" s="16" t="str">
        <f>IFERROR(VLOOKUP(A51,Lists!$A$2:$B$14,2,FALSE),"")</f>
        <v/>
      </c>
      <c r="C51" s="16"/>
      <c r="D51" s="16"/>
      <c r="E51" s="16"/>
      <c r="F51" s="16"/>
      <c r="G51" s="16"/>
      <c r="H51" s="16"/>
      <c r="I51" s="17"/>
      <c r="J51" s="17"/>
      <c r="K51" s="16"/>
      <c r="L51" s="16"/>
      <c r="M51" s="16"/>
      <c r="N51" s="16"/>
      <c r="O51" s="16"/>
      <c r="P51" s="16"/>
      <c r="Q51" s="16"/>
      <c r="R51" s="16" t="str">
        <f t="shared" si="2"/>
        <v/>
      </c>
      <c r="S51" s="16"/>
    </row>
    <row r="52" ht="15.75" customHeight="1">
      <c r="A52" s="16"/>
      <c r="B52" s="16" t="str">
        <f>IFERROR(VLOOKUP(A52,Lists!$A$2:$B$14,2,FALSE),"")</f>
        <v/>
      </c>
      <c r="C52" s="16"/>
      <c r="D52" s="16"/>
      <c r="E52" s="16"/>
      <c r="F52" s="16"/>
      <c r="G52" s="16"/>
      <c r="H52" s="16"/>
      <c r="I52" s="17"/>
      <c r="J52" s="17"/>
      <c r="K52" s="16"/>
      <c r="L52" s="16"/>
      <c r="M52" s="16"/>
      <c r="N52" s="16"/>
      <c r="O52" s="16"/>
      <c r="P52" s="16"/>
      <c r="Q52" s="16"/>
      <c r="R52" s="16" t="str">
        <f t="shared" si="2"/>
        <v/>
      </c>
      <c r="S52" s="16"/>
    </row>
    <row r="53" ht="15.75" customHeight="1">
      <c r="A53" s="16"/>
      <c r="B53" s="16" t="str">
        <f>IFERROR(VLOOKUP(A53,Lists!$A$2:$B$14,2,FALSE),"")</f>
        <v/>
      </c>
      <c r="C53" s="16"/>
      <c r="D53" s="16"/>
      <c r="E53" s="16"/>
      <c r="F53" s="16"/>
      <c r="G53" s="16"/>
      <c r="H53" s="16"/>
      <c r="I53" s="17"/>
      <c r="J53" s="17"/>
      <c r="K53" s="16"/>
      <c r="L53" s="16"/>
      <c r="M53" s="16"/>
      <c r="N53" s="16"/>
      <c r="O53" s="16"/>
      <c r="P53" s="16"/>
      <c r="Q53" s="16"/>
      <c r="R53" s="16" t="str">
        <f t="shared" si="2"/>
        <v/>
      </c>
      <c r="S53" s="16"/>
    </row>
    <row r="54" ht="15.75" customHeight="1">
      <c r="A54" s="16"/>
      <c r="B54" s="16" t="str">
        <f>IFERROR(VLOOKUP(A54,Lists!$A$2:$B$14,2,FALSE),"")</f>
        <v/>
      </c>
      <c r="C54" s="16"/>
      <c r="D54" s="16"/>
      <c r="E54" s="16"/>
      <c r="F54" s="16"/>
      <c r="G54" s="16"/>
      <c r="H54" s="16"/>
      <c r="I54" s="17"/>
      <c r="J54" s="17"/>
      <c r="K54" s="16"/>
      <c r="L54" s="16"/>
      <c r="M54" s="16"/>
      <c r="N54" s="16"/>
      <c r="O54" s="16"/>
      <c r="P54" s="16"/>
      <c r="Q54" s="16"/>
      <c r="R54" s="16" t="str">
        <f t="shared" si="2"/>
        <v/>
      </c>
      <c r="S54" s="16"/>
    </row>
    <row r="55" ht="15.75" customHeight="1">
      <c r="A55" s="16"/>
      <c r="B55" s="16" t="str">
        <f>IFERROR(VLOOKUP(A55,Lists!$A$2:$B$14,2,FALSE),"")</f>
        <v/>
      </c>
      <c r="C55" s="16"/>
      <c r="D55" s="16"/>
      <c r="E55" s="16"/>
      <c r="F55" s="16"/>
      <c r="G55" s="16"/>
      <c r="H55" s="16"/>
      <c r="I55" s="17"/>
      <c r="J55" s="17"/>
      <c r="K55" s="16"/>
      <c r="L55" s="16"/>
      <c r="M55" s="16"/>
      <c r="N55" s="16"/>
      <c r="O55" s="16"/>
      <c r="P55" s="16"/>
      <c r="Q55" s="16"/>
      <c r="R55" s="16" t="str">
        <f t="shared" si="2"/>
        <v/>
      </c>
      <c r="S55" s="16"/>
    </row>
    <row r="56" ht="15.75" customHeight="1">
      <c r="A56" s="16"/>
      <c r="B56" s="16" t="str">
        <f>IFERROR(VLOOKUP(A56,Lists!$A$2:$B$14,2,FALSE),"")</f>
        <v/>
      </c>
      <c r="C56" s="16"/>
      <c r="D56" s="16"/>
      <c r="E56" s="16"/>
      <c r="F56" s="16"/>
      <c r="G56" s="16"/>
      <c r="H56" s="16"/>
      <c r="I56" s="17"/>
      <c r="J56" s="17"/>
      <c r="K56" s="16"/>
      <c r="L56" s="16"/>
      <c r="M56" s="16"/>
      <c r="N56" s="16"/>
      <c r="O56" s="16"/>
      <c r="P56" s="16"/>
      <c r="Q56" s="16"/>
      <c r="R56" s="16" t="str">
        <f t="shared" si="2"/>
        <v/>
      </c>
      <c r="S56" s="16"/>
    </row>
    <row r="57" ht="15.75" customHeight="1">
      <c r="A57" s="16"/>
      <c r="B57" s="16" t="str">
        <f>IFERROR(VLOOKUP(A57,Lists!$A$2:$B$14,2,FALSE),"")</f>
        <v/>
      </c>
      <c r="C57" s="16"/>
      <c r="D57" s="16"/>
      <c r="E57" s="16"/>
      <c r="F57" s="16"/>
      <c r="G57" s="16"/>
      <c r="H57" s="16"/>
      <c r="I57" s="17"/>
      <c r="J57" s="17"/>
      <c r="K57" s="16"/>
      <c r="L57" s="16"/>
      <c r="M57" s="16"/>
      <c r="N57" s="16"/>
      <c r="O57" s="16"/>
      <c r="P57" s="16"/>
      <c r="Q57" s="16"/>
      <c r="R57" s="16" t="str">
        <f t="shared" si="2"/>
        <v/>
      </c>
      <c r="S57" s="16"/>
    </row>
    <row r="58" ht="15.75" customHeight="1">
      <c r="A58" s="16"/>
      <c r="B58" s="16" t="str">
        <f>IFERROR(VLOOKUP(A58,Lists!$A$2:$B$14,2,FALSE),"")</f>
        <v/>
      </c>
      <c r="C58" s="16"/>
      <c r="D58" s="16"/>
      <c r="E58" s="16"/>
      <c r="F58" s="16"/>
      <c r="G58" s="16"/>
      <c r="H58" s="16"/>
      <c r="I58" s="17"/>
      <c r="J58" s="17"/>
      <c r="K58" s="16"/>
      <c r="L58" s="16"/>
      <c r="M58" s="16"/>
      <c r="N58" s="16"/>
      <c r="O58" s="16"/>
      <c r="P58" s="16"/>
      <c r="Q58" s="16"/>
      <c r="R58" s="16" t="str">
        <f t="shared" si="2"/>
        <v/>
      </c>
      <c r="S58" s="16"/>
    </row>
    <row r="59" ht="15.75" customHeight="1">
      <c r="A59" s="16"/>
      <c r="B59" s="16" t="str">
        <f>IFERROR(VLOOKUP(A59,Lists!$A$2:$B$14,2,FALSE),"")</f>
        <v/>
      </c>
      <c r="C59" s="16"/>
      <c r="D59" s="16"/>
      <c r="E59" s="16"/>
      <c r="F59" s="16"/>
      <c r="G59" s="16"/>
      <c r="H59" s="16"/>
      <c r="I59" s="17"/>
      <c r="J59" s="17"/>
      <c r="K59" s="16"/>
      <c r="L59" s="16"/>
      <c r="M59" s="16"/>
      <c r="N59" s="16"/>
      <c r="O59" s="16"/>
      <c r="P59" s="16"/>
      <c r="Q59" s="16"/>
      <c r="R59" s="16" t="str">
        <f t="shared" si="2"/>
        <v/>
      </c>
      <c r="S59" s="16"/>
    </row>
    <row r="60" ht="15.75" customHeight="1">
      <c r="A60" s="16"/>
      <c r="B60" s="16" t="str">
        <f>IFERROR(VLOOKUP(A60,Lists!$A$2:$B$14,2,FALSE),"")</f>
        <v/>
      </c>
      <c r="C60" s="16"/>
      <c r="D60" s="16"/>
      <c r="E60" s="16"/>
      <c r="F60" s="16"/>
      <c r="G60" s="16"/>
      <c r="H60" s="16"/>
      <c r="I60" s="17"/>
      <c r="J60" s="17"/>
      <c r="K60" s="16"/>
      <c r="L60" s="16"/>
      <c r="M60" s="16"/>
      <c r="N60" s="16"/>
      <c r="O60" s="16"/>
      <c r="P60" s="16"/>
      <c r="Q60" s="16"/>
      <c r="R60" s="16" t="str">
        <f t="shared" si="2"/>
        <v/>
      </c>
      <c r="S60" s="16"/>
    </row>
    <row r="61" ht="15.75" customHeight="1">
      <c r="A61" s="16"/>
      <c r="B61" s="16" t="str">
        <f>IFERROR(VLOOKUP(A61,Lists!$A$2:$B$14,2,FALSE),"")</f>
        <v/>
      </c>
      <c r="C61" s="16"/>
      <c r="D61" s="16"/>
      <c r="E61" s="16"/>
      <c r="F61" s="16"/>
      <c r="G61" s="16"/>
      <c r="H61" s="16"/>
      <c r="I61" s="17"/>
      <c r="J61" s="17"/>
      <c r="K61" s="16"/>
      <c r="L61" s="16"/>
      <c r="M61" s="16"/>
      <c r="N61" s="16"/>
      <c r="O61" s="16"/>
      <c r="P61" s="16"/>
      <c r="Q61" s="16"/>
      <c r="R61" s="16" t="str">
        <f t="shared" si="2"/>
        <v/>
      </c>
      <c r="S61" s="16"/>
    </row>
    <row r="62" ht="15.75" customHeight="1">
      <c r="A62" s="16"/>
      <c r="B62" s="16" t="str">
        <f>IFERROR(VLOOKUP(A62,Lists!$A$2:$B$14,2,FALSE),"")</f>
        <v/>
      </c>
      <c r="C62" s="16"/>
      <c r="D62" s="16"/>
      <c r="E62" s="16"/>
      <c r="F62" s="16"/>
      <c r="G62" s="16"/>
      <c r="H62" s="16"/>
      <c r="I62" s="17"/>
      <c r="J62" s="17"/>
      <c r="K62" s="16"/>
      <c r="L62" s="16"/>
      <c r="M62" s="16"/>
      <c r="N62" s="16"/>
      <c r="O62" s="16"/>
      <c r="P62" s="16"/>
      <c r="Q62" s="16"/>
      <c r="R62" s="16" t="str">
        <f t="shared" si="2"/>
        <v/>
      </c>
      <c r="S62" s="16"/>
    </row>
    <row r="63" ht="15.75" customHeight="1">
      <c r="A63" s="16"/>
      <c r="B63" s="16" t="str">
        <f>IFERROR(VLOOKUP(A63,Lists!$A$2:$B$14,2,FALSE),"")</f>
        <v/>
      </c>
      <c r="C63" s="16"/>
      <c r="D63" s="16"/>
      <c r="E63" s="16"/>
      <c r="F63" s="16"/>
      <c r="G63" s="16"/>
      <c r="H63" s="16"/>
      <c r="I63" s="17"/>
      <c r="J63" s="17"/>
      <c r="K63" s="16"/>
      <c r="L63" s="16"/>
      <c r="M63" s="16"/>
      <c r="N63" s="16"/>
      <c r="O63" s="16"/>
      <c r="P63" s="16"/>
      <c r="Q63" s="16"/>
      <c r="R63" s="16" t="str">
        <f t="shared" si="2"/>
        <v/>
      </c>
      <c r="S63" s="16"/>
    </row>
    <row r="64" ht="15.75" customHeight="1">
      <c r="A64" s="16"/>
      <c r="B64" s="16" t="str">
        <f>IFERROR(VLOOKUP(A64,Lists!$A$2:$B$14,2,FALSE),"")</f>
        <v/>
      </c>
      <c r="C64" s="16"/>
      <c r="D64" s="16"/>
      <c r="E64" s="16"/>
      <c r="F64" s="16"/>
      <c r="G64" s="16"/>
      <c r="H64" s="16"/>
      <c r="I64" s="17"/>
      <c r="J64" s="17"/>
      <c r="K64" s="16"/>
      <c r="L64" s="16"/>
      <c r="M64" s="16"/>
      <c r="N64" s="16"/>
      <c r="O64" s="16"/>
      <c r="P64" s="16"/>
      <c r="Q64" s="16"/>
      <c r="R64" s="16" t="str">
        <f t="shared" si="2"/>
        <v/>
      </c>
      <c r="S64" s="16"/>
    </row>
    <row r="65" ht="15.75" customHeight="1">
      <c r="A65" s="16"/>
      <c r="B65" s="16" t="str">
        <f>IFERROR(VLOOKUP(A65,Lists!$A$2:$B$14,2,FALSE),"")</f>
        <v/>
      </c>
      <c r="C65" s="16"/>
      <c r="D65" s="16"/>
      <c r="E65" s="16"/>
      <c r="F65" s="16"/>
      <c r="G65" s="16"/>
      <c r="H65" s="16"/>
      <c r="I65" s="17"/>
      <c r="J65" s="17"/>
      <c r="K65" s="16"/>
      <c r="L65" s="16"/>
      <c r="M65" s="16"/>
      <c r="N65" s="16"/>
      <c r="O65" s="16"/>
      <c r="P65" s="16"/>
      <c r="Q65" s="16"/>
      <c r="R65" s="16" t="str">
        <f t="shared" si="2"/>
        <v/>
      </c>
      <c r="S65" s="16"/>
    </row>
    <row r="66" ht="15.75" customHeight="1">
      <c r="A66" s="16"/>
      <c r="B66" s="16" t="str">
        <f>IFERROR(VLOOKUP(A66,Lists!$A$2:$B$14,2,FALSE),"")</f>
        <v/>
      </c>
      <c r="C66" s="16"/>
      <c r="D66" s="16"/>
      <c r="E66" s="16"/>
      <c r="F66" s="16"/>
      <c r="G66" s="16"/>
      <c r="H66" s="16"/>
      <c r="I66" s="17"/>
      <c r="J66" s="17"/>
      <c r="K66" s="16"/>
      <c r="L66" s="16"/>
      <c r="M66" s="16"/>
      <c r="N66" s="16"/>
      <c r="O66" s="16"/>
      <c r="P66" s="16"/>
      <c r="Q66" s="16"/>
      <c r="R66" s="16" t="str">
        <f t="shared" si="2"/>
        <v/>
      </c>
      <c r="S66" s="16"/>
    </row>
    <row r="67" ht="15.75" customHeight="1">
      <c r="A67" s="16"/>
      <c r="B67" s="16" t="str">
        <f>IFERROR(VLOOKUP(A67,Lists!$A$2:$B$14,2,FALSE),"")</f>
        <v/>
      </c>
      <c r="C67" s="16"/>
      <c r="D67" s="16"/>
      <c r="E67" s="16"/>
      <c r="F67" s="16"/>
      <c r="G67" s="16"/>
      <c r="H67" s="16"/>
      <c r="I67" s="17"/>
      <c r="J67" s="17"/>
      <c r="K67" s="16"/>
      <c r="L67" s="16"/>
      <c r="M67" s="16"/>
      <c r="N67" s="16"/>
      <c r="O67" s="16"/>
      <c r="P67" s="16"/>
      <c r="Q67" s="16"/>
      <c r="R67" s="16" t="str">
        <f t="shared" si="2"/>
        <v/>
      </c>
      <c r="S67" s="16"/>
    </row>
    <row r="68" ht="15.75" customHeight="1">
      <c r="A68" s="16"/>
      <c r="B68" s="16" t="str">
        <f>IFERROR(VLOOKUP(A68,Lists!$A$2:$B$14,2,FALSE),"")</f>
        <v/>
      </c>
      <c r="C68" s="16"/>
      <c r="D68" s="16"/>
      <c r="E68" s="16"/>
      <c r="F68" s="16"/>
      <c r="G68" s="16"/>
      <c r="H68" s="16"/>
      <c r="I68" s="17"/>
      <c r="J68" s="17"/>
      <c r="K68" s="16"/>
      <c r="L68" s="16"/>
      <c r="M68" s="16"/>
      <c r="N68" s="16"/>
      <c r="O68" s="16"/>
      <c r="P68" s="16"/>
      <c r="Q68" s="16"/>
      <c r="R68" s="16" t="str">
        <f t="shared" si="2"/>
        <v/>
      </c>
      <c r="S68" s="16"/>
    </row>
    <row r="69" ht="15.75" customHeight="1">
      <c r="A69" s="16"/>
      <c r="B69" s="16" t="str">
        <f>IFERROR(VLOOKUP(A69,Lists!$A$2:$B$14,2,FALSE),"")</f>
        <v/>
      </c>
      <c r="C69" s="16"/>
      <c r="D69" s="16"/>
      <c r="E69" s="16"/>
      <c r="F69" s="16"/>
      <c r="G69" s="16"/>
      <c r="H69" s="16"/>
      <c r="I69" s="17"/>
      <c r="J69" s="17"/>
      <c r="K69" s="16"/>
      <c r="L69" s="16"/>
      <c r="M69" s="16"/>
      <c r="N69" s="16"/>
      <c r="O69" s="16"/>
      <c r="P69" s="16"/>
      <c r="Q69" s="16"/>
      <c r="R69" s="16" t="str">
        <f t="shared" si="2"/>
        <v/>
      </c>
      <c r="S69" s="16"/>
    </row>
    <row r="70" ht="15.75" customHeight="1">
      <c r="A70" s="16"/>
      <c r="B70" s="16" t="str">
        <f>IFERROR(VLOOKUP(A70,Lists!$A$2:$B$14,2,FALSE),"")</f>
        <v/>
      </c>
      <c r="C70" s="16"/>
      <c r="D70" s="16"/>
      <c r="E70" s="16"/>
      <c r="F70" s="16"/>
      <c r="G70" s="16"/>
      <c r="H70" s="16"/>
      <c r="I70" s="17"/>
      <c r="J70" s="17"/>
      <c r="K70" s="16"/>
      <c r="L70" s="16"/>
      <c r="M70" s="16"/>
      <c r="N70" s="16"/>
      <c r="O70" s="16"/>
      <c r="P70" s="16"/>
      <c r="Q70" s="16"/>
      <c r="R70" s="16" t="str">
        <f t="shared" si="2"/>
        <v/>
      </c>
      <c r="S70" s="16"/>
    </row>
    <row r="71" ht="15.75" customHeight="1">
      <c r="A71" s="16"/>
      <c r="B71" s="16" t="str">
        <f>IFERROR(VLOOKUP(A71,Lists!$A$2:$B$14,2,FALSE),"")</f>
        <v/>
      </c>
      <c r="C71" s="16"/>
      <c r="D71" s="16"/>
      <c r="E71" s="16"/>
      <c r="F71" s="16"/>
      <c r="G71" s="16"/>
      <c r="H71" s="16"/>
      <c r="I71" s="17"/>
      <c r="J71" s="17"/>
      <c r="K71" s="16"/>
      <c r="L71" s="16"/>
      <c r="M71" s="16"/>
      <c r="N71" s="16"/>
      <c r="O71" s="16"/>
      <c r="P71" s="16"/>
      <c r="Q71" s="16"/>
      <c r="R71" s="16" t="str">
        <f t="shared" si="2"/>
        <v/>
      </c>
      <c r="S71" s="16"/>
    </row>
    <row r="72" ht="15.75" customHeight="1">
      <c r="A72" s="16"/>
      <c r="B72" s="16" t="str">
        <f>IFERROR(VLOOKUP(A72,Lists!$A$2:$B$14,2,FALSE),"")</f>
        <v/>
      </c>
      <c r="C72" s="16"/>
      <c r="D72" s="16"/>
      <c r="E72" s="16"/>
      <c r="F72" s="16"/>
      <c r="G72" s="16"/>
      <c r="H72" s="16"/>
      <c r="I72" s="17"/>
      <c r="J72" s="17"/>
      <c r="K72" s="16"/>
      <c r="L72" s="16"/>
      <c r="M72" s="16"/>
      <c r="N72" s="16"/>
      <c r="O72" s="16"/>
      <c r="P72" s="16"/>
      <c r="Q72" s="16"/>
      <c r="R72" s="16" t="str">
        <f t="shared" si="2"/>
        <v/>
      </c>
      <c r="S72" s="16"/>
    </row>
    <row r="73" ht="15.75" customHeight="1">
      <c r="A73" s="16"/>
      <c r="B73" s="16" t="str">
        <f>IFERROR(VLOOKUP(A73,Lists!$A$2:$B$14,2,FALSE),"")</f>
        <v/>
      </c>
      <c r="C73" s="16"/>
      <c r="D73" s="16"/>
      <c r="E73" s="16"/>
      <c r="F73" s="16"/>
      <c r="G73" s="16"/>
      <c r="H73" s="16"/>
      <c r="I73" s="17"/>
      <c r="J73" s="17"/>
      <c r="K73" s="16"/>
      <c r="L73" s="16"/>
      <c r="M73" s="16"/>
      <c r="N73" s="16"/>
      <c r="O73" s="16"/>
      <c r="P73" s="16"/>
      <c r="Q73" s="16"/>
      <c r="R73" s="16" t="str">
        <f t="shared" si="2"/>
        <v/>
      </c>
      <c r="S73" s="16"/>
    </row>
    <row r="74" ht="15.75" customHeight="1">
      <c r="A74" s="16"/>
      <c r="B74" s="16" t="str">
        <f>IFERROR(VLOOKUP(A74,Lists!$A$2:$B$14,2,FALSE),"")</f>
        <v/>
      </c>
      <c r="C74" s="16"/>
      <c r="D74" s="16"/>
      <c r="E74" s="16"/>
      <c r="F74" s="16"/>
      <c r="G74" s="16"/>
      <c r="H74" s="16"/>
      <c r="I74" s="17"/>
      <c r="J74" s="17"/>
      <c r="K74" s="16"/>
      <c r="L74" s="16"/>
      <c r="M74" s="16"/>
      <c r="N74" s="16"/>
      <c r="O74" s="16"/>
      <c r="P74" s="16"/>
      <c r="Q74" s="16"/>
      <c r="R74" s="16" t="str">
        <f t="shared" si="2"/>
        <v/>
      </c>
      <c r="S74" s="16"/>
    </row>
    <row r="75" ht="15.75" customHeight="1">
      <c r="A75" s="16"/>
      <c r="B75" s="16" t="str">
        <f>IFERROR(VLOOKUP(A75,Lists!$A$2:$B$14,2,FALSE),"")</f>
        <v/>
      </c>
      <c r="C75" s="16"/>
      <c r="D75" s="16"/>
      <c r="E75" s="16"/>
      <c r="F75" s="16"/>
      <c r="G75" s="16"/>
      <c r="H75" s="16"/>
      <c r="I75" s="17"/>
      <c r="J75" s="17"/>
      <c r="K75" s="16"/>
      <c r="L75" s="16"/>
      <c r="M75" s="16"/>
      <c r="N75" s="16"/>
      <c r="O75" s="16"/>
      <c r="P75" s="16"/>
      <c r="Q75" s="16"/>
      <c r="R75" s="16" t="str">
        <f t="shared" si="2"/>
        <v/>
      </c>
      <c r="S75" s="16"/>
    </row>
    <row r="76" ht="15.75" customHeight="1">
      <c r="A76" s="16"/>
      <c r="B76" s="16" t="str">
        <f>IFERROR(VLOOKUP(A76,Lists!$A$2:$B$14,2,FALSE),"")</f>
        <v/>
      </c>
      <c r="C76" s="16"/>
      <c r="D76" s="16"/>
      <c r="E76" s="16"/>
      <c r="F76" s="16"/>
      <c r="G76" s="16"/>
      <c r="H76" s="16"/>
      <c r="I76" s="17"/>
      <c r="J76" s="17"/>
      <c r="K76" s="16"/>
      <c r="L76" s="16"/>
      <c r="M76" s="16"/>
      <c r="N76" s="16"/>
      <c r="O76" s="16"/>
      <c r="P76" s="16"/>
      <c r="Q76" s="16"/>
      <c r="R76" s="16" t="str">
        <f t="shared" si="2"/>
        <v/>
      </c>
      <c r="S76" s="16"/>
    </row>
    <row r="77" ht="15.75" customHeight="1">
      <c r="A77" s="16"/>
      <c r="B77" s="16" t="str">
        <f>IFERROR(VLOOKUP(A77,Lists!$A$2:$B$14,2,FALSE),"")</f>
        <v/>
      </c>
      <c r="C77" s="16"/>
      <c r="D77" s="16"/>
      <c r="E77" s="16"/>
      <c r="F77" s="16"/>
      <c r="G77" s="16"/>
      <c r="H77" s="16"/>
      <c r="I77" s="17"/>
      <c r="J77" s="17"/>
      <c r="K77" s="16"/>
      <c r="L77" s="16"/>
      <c r="M77" s="16"/>
      <c r="N77" s="16"/>
      <c r="O77" s="16"/>
      <c r="P77" s="16"/>
      <c r="Q77" s="16"/>
      <c r="R77" s="16" t="str">
        <f t="shared" si="2"/>
        <v/>
      </c>
      <c r="S77" s="16"/>
    </row>
    <row r="78" ht="15.75" customHeight="1">
      <c r="A78" s="16"/>
      <c r="B78" s="16" t="str">
        <f>IFERROR(VLOOKUP(A78,Lists!$A$2:$B$14,2,FALSE),"")</f>
        <v/>
      </c>
      <c r="C78" s="16"/>
      <c r="D78" s="16"/>
      <c r="E78" s="16"/>
      <c r="F78" s="16"/>
      <c r="G78" s="16"/>
      <c r="H78" s="16"/>
      <c r="I78" s="17"/>
      <c r="J78" s="17"/>
      <c r="K78" s="16"/>
      <c r="L78" s="16"/>
      <c r="M78" s="16"/>
      <c r="N78" s="16"/>
      <c r="O78" s="16"/>
      <c r="P78" s="16"/>
      <c r="Q78" s="16"/>
      <c r="R78" s="16" t="str">
        <f t="shared" si="2"/>
        <v/>
      </c>
      <c r="S78" s="16"/>
    </row>
    <row r="79" ht="15.75" customHeight="1">
      <c r="A79" s="16"/>
      <c r="B79" s="16" t="str">
        <f>IFERROR(VLOOKUP(A79,Lists!$A$2:$B$14,2,FALSE),"")</f>
        <v/>
      </c>
      <c r="C79" s="16"/>
      <c r="D79" s="16"/>
      <c r="E79" s="16"/>
      <c r="F79" s="16"/>
      <c r="G79" s="16"/>
      <c r="H79" s="16"/>
      <c r="I79" s="17"/>
      <c r="J79" s="17"/>
      <c r="K79" s="16"/>
      <c r="L79" s="16"/>
      <c r="M79" s="16"/>
      <c r="N79" s="16"/>
      <c r="O79" s="16"/>
      <c r="P79" s="16"/>
      <c r="Q79" s="16"/>
      <c r="R79" s="16" t="str">
        <f t="shared" si="2"/>
        <v/>
      </c>
      <c r="S79" s="16"/>
    </row>
    <row r="80" ht="15.75" customHeight="1">
      <c r="A80" s="16"/>
      <c r="B80" s="16" t="str">
        <f>IFERROR(VLOOKUP(A80,Lists!$A$2:$B$14,2,FALSE),"")</f>
        <v/>
      </c>
      <c r="C80" s="16"/>
      <c r="D80" s="16"/>
      <c r="E80" s="16"/>
      <c r="F80" s="16"/>
      <c r="G80" s="16"/>
      <c r="H80" s="16"/>
      <c r="I80" s="17"/>
      <c r="J80" s="17"/>
      <c r="K80" s="16"/>
      <c r="L80" s="16"/>
      <c r="M80" s="16"/>
      <c r="N80" s="16"/>
      <c r="O80" s="16"/>
      <c r="P80" s="16"/>
      <c r="Q80" s="16"/>
      <c r="R80" s="16" t="str">
        <f t="shared" si="2"/>
        <v/>
      </c>
      <c r="S80" s="16"/>
    </row>
    <row r="81" ht="15.75" customHeight="1">
      <c r="A81" s="16"/>
      <c r="B81" s="16" t="str">
        <f>IFERROR(VLOOKUP(A81,Lists!$A$2:$B$14,2,FALSE),"")</f>
        <v/>
      </c>
      <c r="C81" s="16"/>
      <c r="D81" s="16"/>
      <c r="E81" s="16"/>
      <c r="F81" s="16"/>
      <c r="G81" s="16"/>
      <c r="H81" s="16"/>
      <c r="I81" s="17"/>
      <c r="J81" s="17"/>
      <c r="K81" s="16"/>
      <c r="L81" s="16"/>
      <c r="M81" s="16"/>
      <c r="N81" s="16"/>
      <c r="O81" s="16"/>
      <c r="P81" s="16"/>
      <c r="Q81" s="16"/>
      <c r="R81" s="16" t="str">
        <f t="shared" si="2"/>
        <v/>
      </c>
      <c r="S81" s="16"/>
    </row>
    <row r="82" ht="15.75" customHeight="1">
      <c r="A82" s="16"/>
      <c r="B82" s="16" t="str">
        <f>IFERROR(VLOOKUP(A82,Lists!$A$2:$B$14,2,FALSE),"")</f>
        <v/>
      </c>
      <c r="C82" s="16"/>
      <c r="D82" s="16"/>
      <c r="E82" s="16"/>
      <c r="F82" s="16"/>
      <c r="G82" s="16"/>
      <c r="H82" s="16"/>
      <c r="I82" s="17"/>
      <c r="J82" s="17"/>
      <c r="K82" s="16"/>
      <c r="L82" s="16"/>
      <c r="M82" s="16"/>
      <c r="N82" s="16"/>
      <c r="O82" s="16"/>
      <c r="P82" s="16"/>
      <c r="Q82" s="16"/>
      <c r="R82" s="16" t="str">
        <f t="shared" si="2"/>
        <v/>
      </c>
      <c r="S82" s="16"/>
    </row>
    <row r="83" ht="15.75" customHeight="1">
      <c r="A83" s="16"/>
      <c r="B83" s="16" t="str">
        <f>IFERROR(VLOOKUP(A83,Lists!$A$2:$B$14,2,FALSE),"")</f>
        <v/>
      </c>
      <c r="C83" s="16"/>
      <c r="D83" s="16"/>
      <c r="E83" s="16"/>
      <c r="F83" s="16"/>
      <c r="G83" s="16"/>
      <c r="H83" s="16"/>
      <c r="I83" s="17"/>
      <c r="J83" s="17"/>
      <c r="K83" s="16"/>
      <c r="L83" s="16"/>
      <c r="M83" s="16"/>
      <c r="N83" s="16"/>
      <c r="O83" s="16"/>
      <c r="P83" s="16"/>
      <c r="Q83" s="16"/>
      <c r="R83" s="16" t="str">
        <f t="shared" si="2"/>
        <v/>
      </c>
      <c r="S83" s="16"/>
    </row>
    <row r="84" ht="15.75" customHeight="1">
      <c r="A84" s="16"/>
      <c r="B84" s="16" t="str">
        <f>IFERROR(VLOOKUP(A84,Lists!$A$2:$B$14,2,FALSE),"")</f>
        <v/>
      </c>
      <c r="C84" s="16"/>
      <c r="D84" s="16"/>
      <c r="E84" s="16"/>
      <c r="F84" s="16"/>
      <c r="G84" s="16"/>
      <c r="H84" s="16"/>
      <c r="I84" s="17"/>
      <c r="J84" s="17"/>
      <c r="K84" s="16"/>
      <c r="L84" s="16"/>
      <c r="M84" s="16"/>
      <c r="N84" s="16"/>
      <c r="O84" s="16"/>
      <c r="P84" s="16"/>
      <c r="Q84" s="16"/>
      <c r="R84" s="16" t="str">
        <f t="shared" si="2"/>
        <v/>
      </c>
      <c r="S84" s="16"/>
    </row>
    <row r="85" ht="15.75" customHeight="1">
      <c r="A85" s="16"/>
      <c r="B85" s="16" t="str">
        <f>IFERROR(VLOOKUP(A85,Lists!$A$2:$B$14,2,FALSE),"")</f>
        <v/>
      </c>
      <c r="C85" s="16"/>
      <c r="D85" s="16"/>
      <c r="E85" s="16"/>
      <c r="F85" s="16"/>
      <c r="G85" s="16"/>
      <c r="H85" s="16"/>
      <c r="I85" s="17"/>
      <c r="J85" s="17"/>
      <c r="K85" s="16"/>
      <c r="L85" s="16"/>
      <c r="M85" s="16"/>
      <c r="N85" s="16"/>
      <c r="O85" s="16"/>
      <c r="P85" s="16"/>
      <c r="Q85" s="16"/>
      <c r="R85" s="16" t="str">
        <f t="shared" si="2"/>
        <v/>
      </c>
      <c r="S85" s="16"/>
    </row>
    <row r="86" ht="15.75" customHeight="1">
      <c r="A86" s="16"/>
      <c r="B86" s="16" t="str">
        <f>IFERROR(VLOOKUP(A86,Lists!$A$2:$B$14,2,FALSE),"")</f>
        <v/>
      </c>
      <c r="C86" s="16"/>
      <c r="D86" s="16"/>
      <c r="E86" s="16"/>
      <c r="F86" s="16"/>
      <c r="G86" s="16"/>
      <c r="H86" s="16"/>
      <c r="I86" s="17"/>
      <c r="J86" s="17"/>
      <c r="K86" s="16"/>
      <c r="L86" s="16"/>
      <c r="M86" s="16"/>
      <c r="N86" s="16"/>
      <c r="O86" s="16"/>
      <c r="P86" s="16"/>
      <c r="Q86" s="16"/>
      <c r="R86" s="16" t="str">
        <f t="shared" si="2"/>
        <v/>
      </c>
      <c r="S86" s="16"/>
    </row>
    <row r="87" ht="15.75" customHeight="1">
      <c r="A87" s="16"/>
      <c r="B87" s="16" t="str">
        <f>IFERROR(VLOOKUP(A87,Lists!$A$2:$B$14,2,FALSE),"")</f>
        <v/>
      </c>
      <c r="C87" s="16"/>
      <c r="D87" s="16"/>
      <c r="E87" s="16"/>
      <c r="F87" s="16"/>
      <c r="G87" s="16"/>
      <c r="H87" s="16"/>
      <c r="I87" s="17"/>
      <c r="J87" s="17"/>
      <c r="K87" s="16"/>
      <c r="L87" s="16"/>
      <c r="M87" s="16"/>
      <c r="N87" s="16"/>
      <c r="O87" s="16"/>
      <c r="P87" s="16"/>
      <c r="Q87" s="16"/>
      <c r="R87" s="16" t="str">
        <f t="shared" si="2"/>
        <v/>
      </c>
      <c r="S87" s="16"/>
    </row>
    <row r="88" ht="15.75" customHeight="1">
      <c r="A88" s="16"/>
      <c r="B88" s="16" t="str">
        <f>IFERROR(VLOOKUP(A88,Lists!$A$2:$B$14,2,FALSE),"")</f>
        <v/>
      </c>
      <c r="C88" s="16"/>
      <c r="D88" s="16"/>
      <c r="E88" s="16"/>
      <c r="F88" s="16"/>
      <c r="G88" s="16"/>
      <c r="H88" s="16"/>
      <c r="I88" s="17"/>
      <c r="J88" s="17"/>
      <c r="K88" s="16"/>
      <c r="L88" s="16"/>
      <c r="M88" s="16"/>
      <c r="N88" s="16"/>
      <c r="O88" s="16"/>
      <c r="P88" s="16"/>
      <c r="Q88" s="16"/>
      <c r="R88" s="16" t="str">
        <f t="shared" si="2"/>
        <v/>
      </c>
      <c r="S88" s="16"/>
    </row>
    <row r="89" ht="15.75" customHeight="1">
      <c r="A89" s="16"/>
      <c r="B89" s="16" t="str">
        <f>IFERROR(VLOOKUP(A89,Lists!$A$2:$B$14,2,FALSE),"")</f>
        <v/>
      </c>
      <c r="C89" s="16"/>
      <c r="D89" s="16"/>
      <c r="E89" s="16"/>
      <c r="F89" s="16"/>
      <c r="G89" s="16"/>
      <c r="H89" s="16"/>
      <c r="I89" s="17"/>
      <c r="J89" s="17"/>
      <c r="K89" s="16"/>
      <c r="L89" s="16"/>
      <c r="M89" s="16"/>
      <c r="N89" s="16"/>
      <c r="O89" s="16"/>
      <c r="P89" s="16"/>
      <c r="Q89" s="16"/>
      <c r="R89" s="16" t="str">
        <f t="shared" si="2"/>
        <v/>
      </c>
      <c r="S89" s="16"/>
    </row>
    <row r="90" ht="15.75" customHeight="1">
      <c r="A90" s="16"/>
      <c r="B90" s="16" t="str">
        <f>IFERROR(VLOOKUP(A90,Lists!$A$2:$B$14,2,FALSE),"")</f>
        <v/>
      </c>
      <c r="C90" s="16"/>
      <c r="D90" s="16"/>
      <c r="E90" s="16"/>
      <c r="F90" s="16"/>
      <c r="G90" s="16"/>
      <c r="H90" s="16"/>
      <c r="I90" s="17"/>
      <c r="J90" s="17"/>
      <c r="K90" s="16"/>
      <c r="L90" s="16"/>
      <c r="M90" s="16"/>
      <c r="N90" s="16"/>
      <c r="O90" s="16"/>
      <c r="P90" s="16"/>
      <c r="Q90" s="16"/>
      <c r="R90" s="16" t="str">
        <f t="shared" si="2"/>
        <v/>
      </c>
      <c r="S90" s="16"/>
    </row>
    <row r="91" ht="15.75" customHeight="1">
      <c r="A91" s="16"/>
      <c r="B91" s="16" t="str">
        <f>IFERROR(VLOOKUP(A91,Lists!$A$2:$B$14,2,FALSE),"")</f>
        <v/>
      </c>
      <c r="C91" s="16"/>
      <c r="D91" s="16"/>
      <c r="E91" s="16"/>
      <c r="F91" s="16"/>
      <c r="G91" s="16"/>
      <c r="H91" s="16"/>
      <c r="I91" s="17"/>
      <c r="J91" s="17"/>
      <c r="K91" s="16"/>
      <c r="L91" s="16"/>
      <c r="M91" s="16"/>
      <c r="N91" s="16"/>
      <c r="O91" s="16"/>
      <c r="P91" s="16"/>
      <c r="Q91" s="16"/>
      <c r="R91" s="16" t="str">
        <f t="shared" si="2"/>
        <v/>
      </c>
      <c r="S91" s="16"/>
    </row>
    <row r="92" ht="15.75" customHeight="1">
      <c r="A92" s="16"/>
      <c r="B92" s="16" t="str">
        <f>IFERROR(VLOOKUP(A92,Lists!$A$2:$B$14,2,FALSE),"")</f>
        <v/>
      </c>
      <c r="C92" s="16"/>
      <c r="D92" s="16"/>
      <c r="E92" s="16"/>
      <c r="F92" s="16"/>
      <c r="G92" s="16"/>
      <c r="H92" s="16"/>
      <c r="I92" s="17"/>
      <c r="J92" s="17"/>
      <c r="K92" s="16"/>
      <c r="L92" s="16"/>
      <c r="M92" s="16"/>
      <c r="N92" s="16"/>
      <c r="O92" s="16"/>
      <c r="P92" s="16"/>
      <c r="Q92" s="16"/>
      <c r="R92" s="16" t="str">
        <f t="shared" si="2"/>
        <v/>
      </c>
      <c r="S92" s="16"/>
    </row>
    <row r="93" ht="15.75" customHeight="1">
      <c r="A93" s="16"/>
      <c r="B93" s="16" t="str">
        <f>IFERROR(VLOOKUP(A93,Lists!$A$2:$B$14,2,FALSE),"")</f>
        <v/>
      </c>
      <c r="C93" s="16"/>
      <c r="D93" s="16"/>
      <c r="E93" s="16"/>
      <c r="F93" s="16"/>
      <c r="G93" s="16"/>
      <c r="H93" s="16"/>
      <c r="I93" s="17"/>
      <c r="J93" s="17"/>
      <c r="K93" s="16"/>
      <c r="L93" s="16"/>
      <c r="M93" s="16"/>
      <c r="N93" s="16"/>
      <c r="O93" s="16"/>
      <c r="P93" s="16"/>
      <c r="Q93" s="16"/>
      <c r="R93" s="16" t="str">
        <f t="shared" si="2"/>
        <v/>
      </c>
      <c r="S93" s="16"/>
    </row>
    <row r="94" ht="15.75" customHeight="1">
      <c r="A94" s="16"/>
      <c r="B94" s="16" t="str">
        <f>IFERROR(VLOOKUP(A94,Lists!$A$2:$B$14,2,FALSE),"")</f>
        <v/>
      </c>
      <c r="C94" s="16"/>
      <c r="D94" s="16"/>
      <c r="E94" s="16"/>
      <c r="F94" s="16"/>
      <c r="G94" s="16"/>
      <c r="H94" s="16"/>
      <c r="I94" s="17"/>
      <c r="J94" s="17"/>
      <c r="K94" s="16"/>
      <c r="L94" s="16"/>
      <c r="M94" s="16"/>
      <c r="N94" s="16"/>
      <c r="O94" s="16"/>
      <c r="P94" s="16"/>
      <c r="Q94" s="16"/>
      <c r="R94" s="16" t="str">
        <f t="shared" si="2"/>
        <v/>
      </c>
      <c r="S94" s="16"/>
    </row>
    <row r="95" ht="15.75" customHeight="1">
      <c r="A95" s="16"/>
      <c r="B95" s="16" t="str">
        <f>IFERROR(VLOOKUP(A95,Lists!$A$2:$B$14,2,FALSE),"")</f>
        <v/>
      </c>
      <c r="C95" s="16"/>
      <c r="D95" s="16"/>
      <c r="E95" s="16"/>
      <c r="F95" s="16"/>
      <c r="G95" s="16"/>
      <c r="H95" s="16"/>
      <c r="I95" s="17"/>
      <c r="J95" s="17"/>
      <c r="K95" s="16"/>
      <c r="L95" s="16"/>
      <c r="M95" s="16"/>
      <c r="N95" s="16"/>
      <c r="O95" s="16"/>
      <c r="P95" s="16"/>
      <c r="Q95" s="16"/>
      <c r="R95" s="16" t="str">
        <f t="shared" si="2"/>
        <v/>
      </c>
      <c r="S95" s="16"/>
    </row>
    <row r="96" ht="15.75" customHeight="1">
      <c r="A96" s="16"/>
      <c r="B96" s="16" t="str">
        <f>IFERROR(VLOOKUP(A96,Lists!$A$2:$B$14,2,FALSE),"")</f>
        <v/>
      </c>
      <c r="C96" s="16"/>
      <c r="D96" s="16"/>
      <c r="E96" s="16"/>
      <c r="F96" s="16"/>
      <c r="G96" s="16"/>
      <c r="H96" s="16"/>
      <c r="I96" s="17"/>
      <c r="J96" s="17"/>
      <c r="K96" s="16"/>
      <c r="L96" s="16"/>
      <c r="M96" s="16"/>
      <c r="N96" s="16"/>
      <c r="O96" s="16"/>
      <c r="P96" s="16"/>
      <c r="Q96" s="16"/>
      <c r="R96" s="16" t="str">
        <f t="shared" si="2"/>
        <v/>
      </c>
      <c r="S96" s="16"/>
    </row>
    <row r="97" ht="15.75" customHeight="1">
      <c r="A97" s="16"/>
      <c r="B97" s="16" t="str">
        <f>IFERROR(VLOOKUP(A97,Lists!$A$2:$B$14,2,FALSE),"")</f>
        <v/>
      </c>
      <c r="C97" s="16"/>
      <c r="D97" s="16"/>
      <c r="E97" s="16"/>
      <c r="F97" s="16"/>
      <c r="G97" s="16"/>
      <c r="H97" s="16"/>
      <c r="I97" s="17"/>
      <c r="J97" s="17"/>
      <c r="K97" s="16"/>
      <c r="L97" s="16"/>
      <c r="M97" s="16"/>
      <c r="N97" s="16"/>
      <c r="O97" s="16"/>
      <c r="P97" s="16"/>
      <c r="Q97" s="16"/>
      <c r="R97" s="16" t="str">
        <f t="shared" si="2"/>
        <v/>
      </c>
      <c r="S97" s="16"/>
    </row>
    <row r="98" ht="15.75" customHeight="1">
      <c r="A98" s="16"/>
      <c r="B98" s="16" t="str">
        <f>IFERROR(VLOOKUP(A98,Lists!$A$2:$B$14,2,FALSE),"")</f>
        <v/>
      </c>
      <c r="C98" s="16"/>
      <c r="D98" s="16"/>
      <c r="E98" s="16"/>
      <c r="F98" s="16"/>
      <c r="G98" s="16"/>
      <c r="H98" s="16"/>
      <c r="I98" s="17"/>
      <c r="J98" s="17"/>
      <c r="K98" s="16"/>
      <c r="L98" s="16"/>
      <c r="M98" s="16"/>
      <c r="N98" s="16"/>
      <c r="O98" s="16"/>
      <c r="P98" s="16"/>
      <c r="Q98" s="16"/>
      <c r="R98" s="16" t="str">
        <f t="shared" si="2"/>
        <v/>
      </c>
      <c r="S98" s="16"/>
    </row>
    <row r="99" ht="15.75" customHeight="1">
      <c r="A99" s="16"/>
      <c r="B99" s="16" t="str">
        <f>IFERROR(VLOOKUP(A99,Lists!$A$2:$B$14,2,FALSE),"")</f>
        <v/>
      </c>
      <c r="C99" s="16"/>
      <c r="D99" s="16"/>
      <c r="E99" s="16"/>
      <c r="F99" s="16"/>
      <c r="G99" s="16"/>
      <c r="H99" s="16"/>
      <c r="I99" s="17"/>
      <c r="J99" s="17"/>
      <c r="K99" s="16"/>
      <c r="L99" s="16"/>
      <c r="M99" s="16"/>
      <c r="N99" s="16"/>
      <c r="O99" s="16"/>
      <c r="P99" s="16"/>
      <c r="Q99" s="16"/>
      <c r="R99" s="16" t="str">
        <f t="shared" si="2"/>
        <v/>
      </c>
      <c r="S99" s="16"/>
    </row>
    <row r="100" ht="15.75" customHeight="1">
      <c r="A100" s="16"/>
      <c r="B100" s="16" t="str">
        <f>IFERROR(VLOOKUP(A100,Lists!$A$2:$B$14,2,FALSE),"")</f>
        <v/>
      </c>
      <c r="C100" s="16"/>
      <c r="D100" s="16"/>
      <c r="E100" s="16"/>
      <c r="F100" s="16"/>
      <c r="G100" s="16"/>
      <c r="H100" s="16"/>
      <c r="I100" s="17"/>
      <c r="J100" s="17"/>
      <c r="K100" s="16"/>
      <c r="L100" s="16"/>
      <c r="M100" s="16"/>
      <c r="N100" s="16"/>
      <c r="O100" s="16"/>
      <c r="P100" s="16"/>
      <c r="Q100" s="16"/>
      <c r="R100" s="16" t="str">
        <f t="shared" si="2"/>
        <v/>
      </c>
      <c r="S100" s="16"/>
    </row>
    <row r="101" ht="15.75" customHeight="1">
      <c r="A101" s="16"/>
      <c r="B101" s="16" t="str">
        <f>IFERROR(VLOOKUP(A101,Lists!$A$2:$B$14,2,FALSE),"")</f>
        <v/>
      </c>
      <c r="C101" s="16"/>
      <c r="D101" s="16"/>
      <c r="E101" s="16"/>
      <c r="F101" s="16"/>
      <c r="G101" s="16"/>
      <c r="H101" s="16"/>
      <c r="I101" s="17"/>
      <c r="J101" s="17"/>
      <c r="K101" s="16"/>
      <c r="L101" s="16"/>
      <c r="M101" s="16"/>
      <c r="N101" s="16"/>
      <c r="O101" s="16"/>
      <c r="P101" s="16"/>
      <c r="Q101" s="16"/>
      <c r="R101" s="16" t="str">
        <f t="shared" si="2"/>
        <v/>
      </c>
      <c r="S101" s="16"/>
    </row>
    <row r="102" ht="15.75" customHeight="1">
      <c r="A102" s="16"/>
      <c r="B102" s="16" t="str">
        <f>IFERROR(VLOOKUP(A102,Lists!$A$2:$B$14,2,FALSE),"")</f>
        <v/>
      </c>
      <c r="C102" s="16"/>
      <c r="D102" s="16"/>
      <c r="E102" s="16"/>
      <c r="F102" s="16"/>
      <c r="G102" s="16"/>
      <c r="H102" s="16"/>
      <c r="I102" s="17"/>
      <c r="J102" s="17"/>
      <c r="K102" s="16"/>
      <c r="L102" s="16"/>
      <c r="M102" s="16"/>
      <c r="N102" s="16"/>
      <c r="O102" s="16"/>
      <c r="P102" s="16"/>
      <c r="Q102" s="16"/>
      <c r="R102" s="16" t="str">
        <f t="shared" si="2"/>
        <v/>
      </c>
      <c r="S102" s="16"/>
    </row>
    <row r="103" ht="15.75" customHeight="1">
      <c r="C103" s="24"/>
      <c r="D103" s="25"/>
      <c r="I103" s="26"/>
      <c r="J103" s="26"/>
    </row>
    <row r="104" ht="15.75" customHeight="1">
      <c r="C104" s="24"/>
      <c r="D104" s="25"/>
      <c r="I104" s="26"/>
      <c r="J104" s="26"/>
    </row>
    <row r="105" ht="15.75" customHeight="1">
      <c r="C105" s="24"/>
      <c r="D105" s="25"/>
      <c r="I105" s="26"/>
      <c r="J105" s="26"/>
    </row>
    <row r="106" ht="15.75" customHeight="1">
      <c r="C106" s="24"/>
      <c r="D106" s="25"/>
      <c r="I106" s="26"/>
      <c r="J106" s="26"/>
    </row>
    <row r="107" ht="15.75" customHeight="1">
      <c r="C107" s="24"/>
      <c r="D107" s="25"/>
      <c r="I107" s="26"/>
      <c r="J107" s="26"/>
    </row>
    <row r="108" ht="15.75" customHeight="1">
      <c r="C108" s="24"/>
      <c r="D108" s="25"/>
      <c r="I108" s="26"/>
      <c r="J108" s="26"/>
    </row>
    <row r="109" ht="15.75" customHeight="1">
      <c r="C109" s="24"/>
      <c r="D109" s="25"/>
      <c r="I109" s="26"/>
      <c r="J109" s="26"/>
    </row>
    <row r="110" ht="15.75" customHeight="1">
      <c r="C110" s="24"/>
      <c r="D110" s="25"/>
      <c r="I110" s="26"/>
      <c r="J110" s="26"/>
    </row>
    <row r="111" ht="15.75" customHeight="1">
      <c r="C111" s="24"/>
      <c r="D111" s="25"/>
      <c r="I111" s="26"/>
      <c r="J111" s="26"/>
    </row>
    <row r="112" ht="15.75" customHeight="1">
      <c r="C112" s="24"/>
      <c r="D112" s="25"/>
      <c r="I112" s="26"/>
      <c r="J112" s="26"/>
    </row>
    <row r="113" ht="15.75" customHeight="1">
      <c r="C113" s="24"/>
      <c r="D113" s="25"/>
      <c r="I113" s="26"/>
      <c r="J113" s="26"/>
    </row>
    <row r="114" ht="15.75" customHeight="1">
      <c r="C114" s="24"/>
      <c r="D114" s="25"/>
      <c r="I114" s="26"/>
      <c r="J114" s="26"/>
    </row>
    <row r="115" ht="15.75" customHeight="1">
      <c r="C115" s="24"/>
      <c r="D115" s="25"/>
      <c r="I115" s="26"/>
      <c r="J115" s="26"/>
    </row>
    <row r="116" ht="15.75" customHeight="1">
      <c r="C116" s="24"/>
      <c r="D116" s="25"/>
      <c r="I116" s="26"/>
      <c r="J116" s="26"/>
    </row>
    <row r="117" ht="15.75" customHeight="1">
      <c r="C117" s="24"/>
      <c r="D117" s="25"/>
      <c r="I117" s="26"/>
      <c r="J117" s="26"/>
    </row>
    <row r="118" ht="15.75" customHeight="1">
      <c r="C118" s="24"/>
      <c r="D118" s="25"/>
      <c r="I118" s="26"/>
      <c r="J118" s="26"/>
    </row>
    <row r="119" ht="15.75" customHeight="1">
      <c r="C119" s="24"/>
      <c r="D119" s="25"/>
      <c r="I119" s="26"/>
      <c r="J119" s="26"/>
    </row>
    <row r="120" ht="15.75" customHeight="1">
      <c r="C120" s="24"/>
      <c r="D120" s="25"/>
      <c r="I120" s="26"/>
      <c r="J120" s="26"/>
    </row>
    <row r="121" ht="15.75" customHeight="1">
      <c r="C121" s="24"/>
      <c r="D121" s="25"/>
      <c r="I121" s="26"/>
      <c r="J121" s="26"/>
    </row>
    <row r="122" ht="15.75" customHeight="1">
      <c r="C122" s="24"/>
      <c r="D122" s="25"/>
      <c r="I122" s="26"/>
      <c r="J122" s="26"/>
    </row>
    <row r="123" ht="15.75" customHeight="1">
      <c r="C123" s="24"/>
      <c r="D123" s="25"/>
      <c r="I123" s="26"/>
      <c r="J123" s="26"/>
    </row>
    <row r="124" ht="15.75" customHeight="1">
      <c r="C124" s="24"/>
      <c r="D124" s="25"/>
      <c r="I124" s="26"/>
      <c r="J124" s="26"/>
    </row>
    <row r="125" ht="15.75" customHeight="1">
      <c r="C125" s="24"/>
      <c r="D125" s="25"/>
      <c r="I125" s="26"/>
      <c r="J125" s="26"/>
    </row>
    <row r="126" ht="15.75" customHeight="1">
      <c r="C126" s="24"/>
      <c r="D126" s="25"/>
      <c r="I126" s="26"/>
      <c r="J126" s="26"/>
    </row>
    <row r="127" ht="15.75" customHeight="1">
      <c r="C127" s="24"/>
      <c r="D127" s="25"/>
      <c r="I127" s="26"/>
      <c r="J127" s="26"/>
    </row>
    <row r="128" ht="15.75" customHeight="1">
      <c r="C128" s="24"/>
      <c r="D128" s="25"/>
      <c r="I128" s="26"/>
      <c r="J128" s="26"/>
    </row>
    <row r="129" ht="15.75" customHeight="1">
      <c r="C129" s="24"/>
      <c r="D129" s="25"/>
      <c r="I129" s="26"/>
      <c r="J129" s="26"/>
    </row>
    <row r="130" ht="15.75" customHeight="1">
      <c r="C130" s="24"/>
      <c r="D130" s="25"/>
      <c r="I130" s="26"/>
      <c r="J130" s="26"/>
    </row>
    <row r="131" ht="15.75" customHeight="1">
      <c r="C131" s="24"/>
      <c r="D131" s="25"/>
      <c r="I131" s="26"/>
      <c r="J131" s="26"/>
    </row>
    <row r="132" ht="15.75" customHeight="1">
      <c r="C132" s="24"/>
      <c r="D132" s="25"/>
      <c r="I132" s="26"/>
      <c r="J132" s="26"/>
    </row>
    <row r="133" ht="15.75" customHeight="1">
      <c r="C133" s="24"/>
      <c r="D133" s="25"/>
      <c r="I133" s="26"/>
      <c r="J133" s="26"/>
    </row>
    <row r="134" ht="15.75" customHeight="1">
      <c r="C134" s="24"/>
      <c r="D134" s="25"/>
      <c r="I134" s="26"/>
      <c r="J134" s="26"/>
    </row>
    <row r="135" ht="15.75" customHeight="1">
      <c r="C135" s="24"/>
      <c r="D135" s="25"/>
      <c r="I135" s="26"/>
      <c r="J135" s="26"/>
    </row>
    <row r="136" ht="15.75" customHeight="1">
      <c r="C136" s="24"/>
      <c r="D136" s="25"/>
      <c r="I136" s="26"/>
      <c r="J136" s="26"/>
    </row>
    <row r="137" ht="15.75" customHeight="1">
      <c r="C137" s="24"/>
      <c r="D137" s="25"/>
      <c r="I137" s="26"/>
      <c r="J137" s="26"/>
    </row>
    <row r="138" ht="15.75" customHeight="1">
      <c r="C138" s="24"/>
      <c r="D138" s="25"/>
      <c r="I138" s="26"/>
      <c r="J138" s="26"/>
    </row>
    <row r="139" ht="15.75" customHeight="1">
      <c r="C139" s="24"/>
      <c r="D139" s="25"/>
      <c r="I139" s="26"/>
      <c r="J139" s="26"/>
    </row>
    <row r="140" ht="15.75" customHeight="1">
      <c r="C140" s="24"/>
      <c r="D140" s="25"/>
      <c r="I140" s="26"/>
      <c r="J140" s="26"/>
    </row>
    <row r="141" ht="15.75" customHeight="1">
      <c r="C141" s="24"/>
      <c r="D141" s="25"/>
      <c r="I141" s="26"/>
      <c r="J141" s="26"/>
    </row>
    <row r="142" ht="15.75" customHeight="1">
      <c r="C142" s="24"/>
      <c r="D142" s="25"/>
      <c r="I142" s="26"/>
      <c r="J142" s="26"/>
    </row>
    <row r="143" ht="15.75" customHeight="1">
      <c r="C143" s="24"/>
      <c r="D143" s="25"/>
      <c r="I143" s="26"/>
      <c r="J143" s="26"/>
    </row>
    <row r="144" ht="15.75" customHeight="1">
      <c r="C144" s="24"/>
      <c r="D144" s="25"/>
      <c r="I144" s="26"/>
      <c r="J144" s="26"/>
    </row>
    <row r="145" ht="15.75" customHeight="1">
      <c r="C145" s="24"/>
      <c r="D145" s="25"/>
      <c r="I145" s="26"/>
      <c r="J145" s="26"/>
    </row>
    <row r="146" ht="15.75" customHeight="1">
      <c r="C146" s="24"/>
      <c r="D146" s="25"/>
      <c r="I146" s="26"/>
      <c r="J146" s="26"/>
    </row>
    <row r="147" ht="15.75" customHeight="1">
      <c r="C147" s="24"/>
      <c r="D147" s="25"/>
      <c r="I147" s="26"/>
      <c r="J147" s="26"/>
    </row>
    <row r="148" ht="15.75" customHeight="1">
      <c r="C148" s="24"/>
      <c r="D148" s="25"/>
      <c r="I148" s="26"/>
      <c r="J148" s="26"/>
    </row>
    <row r="149" ht="15.75" customHeight="1">
      <c r="C149" s="24"/>
      <c r="D149" s="25"/>
      <c r="I149" s="26"/>
      <c r="J149" s="26"/>
    </row>
    <row r="150" ht="15.75" customHeight="1">
      <c r="C150" s="24"/>
      <c r="D150" s="25"/>
      <c r="I150" s="26"/>
      <c r="J150" s="26"/>
    </row>
    <row r="151" ht="15.75" customHeight="1">
      <c r="C151" s="24"/>
      <c r="D151" s="25"/>
      <c r="I151" s="26"/>
      <c r="J151" s="26"/>
    </row>
    <row r="152" ht="15.75" customHeight="1">
      <c r="C152" s="24"/>
      <c r="D152" s="25"/>
      <c r="I152" s="26"/>
      <c r="J152" s="26"/>
    </row>
    <row r="153" ht="15.75" customHeight="1">
      <c r="C153" s="24"/>
      <c r="D153" s="25"/>
      <c r="I153" s="26"/>
      <c r="J153" s="26"/>
    </row>
    <row r="154" ht="15.75" customHeight="1">
      <c r="C154" s="24"/>
      <c r="D154" s="25"/>
      <c r="I154" s="26"/>
      <c r="J154" s="26"/>
    </row>
    <row r="155" ht="15.75" customHeight="1">
      <c r="C155" s="24"/>
      <c r="D155" s="25"/>
      <c r="I155" s="26"/>
      <c r="J155" s="26"/>
    </row>
    <row r="156" ht="15.75" customHeight="1">
      <c r="C156" s="24"/>
      <c r="D156" s="25"/>
      <c r="I156" s="26"/>
      <c r="J156" s="26"/>
    </row>
    <row r="157" ht="15.75" customHeight="1">
      <c r="C157" s="24"/>
      <c r="D157" s="25"/>
      <c r="I157" s="26"/>
      <c r="J157" s="26"/>
    </row>
    <row r="158" ht="15.75" customHeight="1">
      <c r="C158" s="24"/>
      <c r="D158" s="25"/>
      <c r="I158" s="26"/>
      <c r="J158" s="26"/>
    </row>
    <row r="159" ht="15.75" customHeight="1">
      <c r="C159" s="24"/>
      <c r="D159" s="25"/>
      <c r="I159" s="26"/>
      <c r="J159" s="26"/>
    </row>
    <row r="160" ht="15.75" customHeight="1">
      <c r="C160" s="24"/>
      <c r="D160" s="25"/>
      <c r="I160" s="26"/>
      <c r="J160" s="26"/>
    </row>
    <row r="161" ht="15.75" customHeight="1">
      <c r="C161" s="24"/>
      <c r="D161" s="25"/>
      <c r="I161" s="26"/>
      <c r="J161" s="26"/>
    </row>
    <row r="162" ht="15.75" customHeight="1">
      <c r="C162" s="24"/>
      <c r="D162" s="25"/>
      <c r="I162" s="26"/>
      <c r="J162" s="26"/>
    </row>
    <row r="163" ht="15.75" customHeight="1">
      <c r="C163" s="24"/>
      <c r="D163" s="25"/>
      <c r="I163" s="26"/>
      <c r="J163" s="26"/>
    </row>
    <row r="164" ht="15.75" customHeight="1">
      <c r="C164" s="24"/>
      <c r="D164" s="25"/>
      <c r="I164" s="26"/>
      <c r="J164" s="26"/>
    </row>
    <row r="165" ht="15.75" customHeight="1">
      <c r="C165" s="24"/>
      <c r="D165" s="25"/>
      <c r="I165" s="26"/>
      <c r="J165" s="26"/>
    </row>
    <row r="166" ht="15.75" customHeight="1">
      <c r="C166" s="24"/>
      <c r="D166" s="25"/>
      <c r="I166" s="26"/>
      <c r="J166" s="26"/>
    </row>
    <row r="167" ht="15.75" customHeight="1">
      <c r="C167" s="24"/>
      <c r="D167" s="25"/>
      <c r="I167" s="26"/>
      <c r="J167" s="26"/>
    </row>
    <row r="168" ht="15.75" customHeight="1">
      <c r="C168" s="24"/>
      <c r="D168" s="25"/>
      <c r="I168" s="26"/>
      <c r="J168" s="26"/>
    </row>
    <row r="169" ht="15.75" customHeight="1">
      <c r="C169" s="24"/>
      <c r="D169" s="25"/>
      <c r="I169" s="26"/>
      <c r="J169" s="26"/>
    </row>
    <row r="170" ht="15.75" customHeight="1">
      <c r="C170" s="24"/>
      <c r="D170" s="25"/>
      <c r="I170" s="26"/>
      <c r="J170" s="26"/>
    </row>
    <row r="171" ht="15.75" customHeight="1">
      <c r="C171" s="24"/>
      <c r="D171" s="25"/>
      <c r="I171" s="26"/>
      <c r="J171" s="26"/>
    </row>
    <row r="172" ht="15.75" customHeight="1">
      <c r="C172" s="24"/>
      <c r="D172" s="25"/>
      <c r="I172" s="26"/>
      <c r="J172" s="26"/>
    </row>
    <row r="173" ht="15.75" customHeight="1">
      <c r="C173" s="24"/>
      <c r="D173" s="25"/>
      <c r="I173" s="26"/>
      <c r="J173" s="26"/>
    </row>
    <row r="174" ht="15.75" customHeight="1">
      <c r="C174" s="24"/>
      <c r="D174" s="25"/>
      <c r="I174" s="26"/>
      <c r="J174" s="26"/>
    </row>
    <row r="175" ht="15.75" customHeight="1">
      <c r="C175" s="24"/>
      <c r="D175" s="25"/>
      <c r="I175" s="26"/>
      <c r="J175" s="26"/>
    </row>
    <row r="176" ht="15.75" customHeight="1">
      <c r="C176" s="24"/>
      <c r="D176" s="25"/>
      <c r="I176" s="26"/>
      <c r="J176" s="26"/>
    </row>
    <row r="177" ht="15.75" customHeight="1">
      <c r="C177" s="24"/>
      <c r="D177" s="25"/>
      <c r="I177" s="26"/>
      <c r="J177" s="26"/>
    </row>
    <row r="178" ht="15.75" customHeight="1">
      <c r="C178" s="24"/>
      <c r="D178" s="25"/>
      <c r="I178" s="26"/>
      <c r="J178" s="26"/>
    </row>
    <row r="179" ht="15.75" customHeight="1">
      <c r="C179" s="24"/>
      <c r="D179" s="25"/>
      <c r="I179" s="26"/>
      <c r="J179" s="26"/>
    </row>
    <row r="180" ht="15.75" customHeight="1">
      <c r="C180" s="24"/>
      <c r="D180" s="25"/>
      <c r="I180" s="26"/>
      <c r="J180" s="26"/>
    </row>
    <row r="181" ht="15.75" customHeight="1">
      <c r="C181" s="24"/>
      <c r="D181" s="25"/>
      <c r="I181" s="26"/>
      <c r="J181" s="26"/>
    </row>
    <row r="182" ht="15.75" customHeight="1">
      <c r="C182" s="24"/>
      <c r="D182" s="25"/>
      <c r="I182" s="26"/>
      <c r="J182" s="26"/>
    </row>
    <row r="183" ht="15.75" customHeight="1">
      <c r="C183" s="24"/>
      <c r="D183" s="25"/>
      <c r="I183" s="26"/>
      <c r="J183" s="26"/>
    </row>
    <row r="184" ht="15.75" customHeight="1">
      <c r="C184" s="24"/>
      <c r="D184" s="25"/>
      <c r="I184" s="26"/>
      <c r="J184" s="26"/>
    </row>
    <row r="185" ht="15.75" customHeight="1">
      <c r="C185" s="24"/>
      <c r="D185" s="25"/>
      <c r="I185" s="26"/>
      <c r="J185" s="26"/>
    </row>
    <row r="186" ht="15.75" customHeight="1">
      <c r="C186" s="24"/>
      <c r="D186" s="25"/>
      <c r="I186" s="26"/>
      <c r="J186" s="26"/>
    </row>
    <row r="187" ht="15.75" customHeight="1">
      <c r="C187" s="24"/>
      <c r="D187" s="25"/>
      <c r="I187" s="26"/>
      <c r="J187" s="26"/>
    </row>
    <row r="188" ht="15.75" customHeight="1">
      <c r="C188" s="24"/>
      <c r="D188" s="25"/>
      <c r="I188" s="26"/>
      <c r="J188" s="26"/>
    </row>
    <row r="189" ht="15.75" customHeight="1">
      <c r="C189" s="24"/>
      <c r="D189" s="25"/>
      <c r="I189" s="26"/>
      <c r="J189" s="26"/>
    </row>
    <row r="190" ht="15.75" customHeight="1">
      <c r="C190" s="24"/>
      <c r="D190" s="25"/>
      <c r="I190" s="26"/>
      <c r="J190" s="26"/>
    </row>
    <row r="191" ht="15.75" customHeight="1">
      <c r="C191" s="24"/>
      <c r="D191" s="25"/>
      <c r="I191" s="26"/>
      <c r="J191" s="26"/>
    </row>
    <row r="192" ht="15.75" customHeight="1">
      <c r="C192" s="24"/>
      <c r="D192" s="25"/>
      <c r="I192" s="26"/>
      <c r="J192" s="26"/>
    </row>
    <row r="193" ht="15.75" customHeight="1">
      <c r="C193" s="24"/>
      <c r="D193" s="25"/>
      <c r="I193" s="26"/>
      <c r="J193" s="26"/>
    </row>
    <row r="194" ht="15.75" customHeight="1">
      <c r="C194" s="24"/>
      <c r="D194" s="25"/>
      <c r="I194" s="26"/>
      <c r="J194" s="26"/>
    </row>
    <row r="195" ht="15.75" customHeight="1">
      <c r="C195" s="24"/>
      <c r="D195" s="25"/>
      <c r="I195" s="26"/>
      <c r="J195" s="26"/>
    </row>
    <row r="196" ht="15.75" customHeight="1">
      <c r="C196" s="24"/>
      <c r="D196" s="25"/>
      <c r="I196" s="26"/>
      <c r="J196" s="26"/>
    </row>
    <row r="197" ht="15.75" customHeight="1">
      <c r="C197" s="24"/>
      <c r="D197" s="25"/>
      <c r="I197" s="26"/>
      <c r="J197" s="26"/>
    </row>
    <row r="198" ht="15.75" customHeight="1">
      <c r="C198" s="24"/>
      <c r="D198" s="25"/>
      <c r="I198" s="26"/>
      <c r="J198" s="26"/>
    </row>
    <row r="199" ht="15.75" customHeight="1">
      <c r="C199" s="24"/>
      <c r="D199" s="25"/>
      <c r="I199" s="26"/>
      <c r="J199" s="26"/>
    </row>
    <row r="200" ht="15.75" customHeight="1">
      <c r="C200" s="24"/>
      <c r="D200" s="25"/>
      <c r="I200" s="26"/>
      <c r="J200" s="26"/>
    </row>
    <row r="201" ht="15.75" customHeight="1">
      <c r="C201" s="24"/>
      <c r="D201" s="25"/>
      <c r="I201" s="26"/>
      <c r="J201" s="26"/>
    </row>
    <row r="202" ht="15.75" customHeight="1">
      <c r="C202" s="24"/>
      <c r="D202" s="25"/>
      <c r="I202" s="26"/>
      <c r="J202" s="26"/>
    </row>
    <row r="203" ht="15.75" customHeight="1">
      <c r="C203" s="24"/>
      <c r="D203" s="25"/>
      <c r="I203" s="26"/>
      <c r="J203" s="26"/>
    </row>
    <row r="204" ht="15.75" customHeight="1">
      <c r="C204" s="24"/>
      <c r="D204" s="25"/>
      <c r="I204" s="26"/>
      <c r="J204" s="26"/>
    </row>
    <row r="205" ht="15.75" customHeight="1">
      <c r="C205" s="24"/>
      <c r="D205" s="25"/>
      <c r="I205" s="26"/>
      <c r="J205" s="26"/>
    </row>
    <row r="206" ht="15.75" customHeight="1">
      <c r="C206" s="24"/>
      <c r="D206" s="25"/>
      <c r="I206" s="26"/>
      <c r="J206" s="26"/>
    </row>
    <row r="207" ht="15.75" customHeight="1">
      <c r="C207" s="24"/>
      <c r="D207" s="25"/>
      <c r="I207" s="26"/>
      <c r="J207" s="26"/>
    </row>
    <row r="208" ht="15.75" customHeight="1">
      <c r="C208" s="24"/>
      <c r="D208" s="25"/>
      <c r="I208" s="26"/>
      <c r="J208" s="26"/>
    </row>
    <row r="209" ht="15.75" customHeight="1">
      <c r="C209" s="24"/>
      <c r="D209" s="25"/>
      <c r="I209" s="26"/>
      <c r="J209" s="26"/>
    </row>
    <row r="210" ht="15.75" customHeight="1">
      <c r="C210" s="24"/>
      <c r="D210" s="25"/>
      <c r="I210" s="26"/>
      <c r="J210" s="26"/>
    </row>
    <row r="211" ht="15.75" customHeight="1">
      <c r="C211" s="24"/>
      <c r="D211" s="25"/>
      <c r="I211" s="26"/>
      <c r="J211" s="26"/>
    </row>
    <row r="212" ht="15.75" customHeight="1">
      <c r="C212" s="24"/>
      <c r="D212" s="25"/>
      <c r="I212" s="26"/>
      <c r="J212" s="26"/>
    </row>
    <row r="213" ht="15.75" customHeight="1">
      <c r="C213" s="24"/>
      <c r="D213" s="25"/>
      <c r="I213" s="26"/>
      <c r="J213" s="26"/>
    </row>
    <row r="214" ht="15.75" customHeight="1">
      <c r="C214" s="24"/>
      <c r="D214" s="25"/>
      <c r="I214" s="26"/>
      <c r="J214" s="26"/>
    </row>
    <row r="215" ht="15.75" customHeight="1">
      <c r="C215" s="24"/>
      <c r="D215" s="25"/>
      <c r="I215" s="26"/>
      <c r="J215" s="26"/>
    </row>
    <row r="216" ht="15.75" customHeight="1">
      <c r="C216" s="24"/>
      <c r="D216" s="25"/>
      <c r="I216" s="26"/>
      <c r="J216" s="26"/>
    </row>
    <row r="217" ht="15.75" customHeight="1">
      <c r="C217" s="24"/>
      <c r="D217" s="25"/>
      <c r="I217" s="26"/>
      <c r="J217" s="26"/>
    </row>
    <row r="218" ht="15.75" customHeight="1">
      <c r="C218" s="24"/>
      <c r="D218" s="25"/>
      <c r="I218" s="26"/>
      <c r="J218" s="26"/>
    </row>
    <row r="219" ht="15.75" customHeight="1">
      <c r="C219" s="24"/>
      <c r="D219" s="25"/>
      <c r="I219" s="26"/>
      <c r="J219" s="26"/>
    </row>
    <row r="220" ht="15.75" customHeight="1">
      <c r="C220" s="24"/>
      <c r="D220" s="25"/>
      <c r="I220" s="26"/>
      <c r="J220" s="26"/>
    </row>
    <row r="221" ht="15.75" customHeight="1">
      <c r="C221" s="24"/>
      <c r="D221" s="25"/>
      <c r="I221" s="26"/>
      <c r="J221" s="26"/>
    </row>
    <row r="222" ht="15.75" customHeight="1">
      <c r="C222" s="24"/>
      <c r="D222" s="25"/>
      <c r="I222" s="26"/>
      <c r="J222" s="26"/>
    </row>
    <row r="223" ht="15.75" customHeight="1">
      <c r="C223" s="24"/>
      <c r="D223" s="25"/>
      <c r="I223" s="26"/>
      <c r="J223" s="26"/>
    </row>
    <row r="224" ht="15.75" customHeight="1">
      <c r="C224" s="24"/>
      <c r="D224" s="25"/>
      <c r="I224" s="26"/>
      <c r="J224" s="26"/>
    </row>
    <row r="225" ht="15.75" customHeight="1">
      <c r="C225" s="24"/>
      <c r="D225" s="25"/>
      <c r="I225" s="26"/>
      <c r="J225" s="26"/>
    </row>
    <row r="226" ht="15.75" customHeight="1">
      <c r="C226" s="24"/>
      <c r="D226" s="25"/>
      <c r="I226" s="26"/>
      <c r="J226" s="26"/>
    </row>
    <row r="227" ht="15.75" customHeight="1">
      <c r="C227" s="24"/>
      <c r="D227" s="25"/>
      <c r="I227" s="26"/>
      <c r="J227" s="26"/>
    </row>
    <row r="228" ht="15.75" customHeight="1">
      <c r="C228" s="24"/>
      <c r="D228" s="25"/>
      <c r="I228" s="26"/>
      <c r="J228" s="26"/>
    </row>
    <row r="229" ht="15.75" customHeight="1">
      <c r="C229" s="24"/>
      <c r="D229" s="25"/>
      <c r="I229" s="26"/>
      <c r="J229" s="26"/>
    </row>
    <row r="230" ht="15.75" customHeight="1">
      <c r="C230" s="24"/>
      <c r="D230" s="25"/>
      <c r="I230" s="26"/>
      <c r="J230" s="26"/>
    </row>
    <row r="231" ht="15.75" customHeight="1">
      <c r="C231" s="24"/>
      <c r="D231" s="25"/>
      <c r="I231" s="26"/>
      <c r="J231" s="26"/>
    </row>
    <row r="232" ht="15.75" customHeight="1">
      <c r="C232" s="24"/>
      <c r="D232" s="25"/>
      <c r="I232" s="26"/>
      <c r="J232" s="26"/>
    </row>
    <row r="233" ht="15.75" customHeight="1">
      <c r="C233" s="24"/>
      <c r="D233" s="25"/>
      <c r="I233" s="26"/>
      <c r="J233" s="26"/>
    </row>
    <row r="234" ht="15.75" customHeight="1">
      <c r="C234" s="24"/>
      <c r="D234" s="25"/>
      <c r="I234" s="26"/>
      <c r="J234" s="26"/>
    </row>
    <row r="235" ht="15.75" customHeight="1">
      <c r="C235" s="24"/>
      <c r="D235" s="25"/>
      <c r="I235" s="26"/>
      <c r="J235" s="26"/>
    </row>
    <row r="236" ht="15.75" customHeight="1">
      <c r="C236" s="24"/>
      <c r="D236" s="25"/>
      <c r="I236" s="26"/>
      <c r="J236" s="26"/>
    </row>
    <row r="237" ht="15.75" customHeight="1">
      <c r="C237" s="24"/>
      <c r="D237" s="25"/>
      <c r="I237" s="26"/>
      <c r="J237" s="26"/>
    </row>
    <row r="238" ht="15.75" customHeight="1">
      <c r="C238" s="24"/>
      <c r="D238" s="25"/>
      <c r="I238" s="26"/>
      <c r="J238" s="26"/>
    </row>
    <row r="239" ht="15.75" customHeight="1">
      <c r="C239" s="24"/>
      <c r="D239" s="25"/>
      <c r="I239" s="26"/>
      <c r="J239" s="26"/>
    </row>
    <row r="240" ht="15.75" customHeight="1">
      <c r="C240" s="24"/>
      <c r="D240" s="25"/>
      <c r="I240" s="26"/>
      <c r="J240" s="26"/>
    </row>
    <row r="241" ht="15.75" customHeight="1">
      <c r="C241" s="24"/>
      <c r="D241" s="25"/>
      <c r="I241" s="26"/>
      <c r="J241" s="26"/>
    </row>
    <row r="242" ht="15.75" customHeight="1">
      <c r="C242" s="24"/>
      <c r="D242" s="25"/>
      <c r="I242" s="26"/>
      <c r="J242" s="26"/>
    </row>
    <row r="243" ht="15.75" customHeight="1">
      <c r="C243" s="24"/>
      <c r="D243" s="25"/>
      <c r="I243" s="26"/>
      <c r="J243" s="26"/>
    </row>
    <row r="244" ht="15.75" customHeight="1">
      <c r="C244" s="24"/>
      <c r="D244" s="25"/>
      <c r="I244" s="26"/>
      <c r="J244" s="26"/>
    </row>
    <row r="245" ht="15.75" customHeight="1">
      <c r="C245" s="24"/>
      <c r="D245" s="25"/>
      <c r="I245" s="26"/>
      <c r="J245" s="26"/>
    </row>
    <row r="246" ht="15.75" customHeight="1">
      <c r="C246" s="24"/>
      <c r="D246" s="25"/>
      <c r="I246" s="26"/>
      <c r="J246" s="26"/>
    </row>
    <row r="247" ht="15.75" customHeight="1">
      <c r="C247" s="24"/>
      <c r="D247" s="25"/>
      <c r="I247" s="26"/>
      <c r="J247" s="26"/>
    </row>
    <row r="248" ht="15.75" customHeight="1">
      <c r="C248" s="24"/>
      <c r="D248" s="25"/>
      <c r="I248" s="26"/>
      <c r="J248" s="26"/>
    </row>
    <row r="249" ht="15.75" customHeight="1">
      <c r="C249" s="24"/>
      <c r="D249" s="25"/>
      <c r="I249" s="26"/>
      <c r="J249" s="26"/>
    </row>
    <row r="250" ht="15.75" customHeight="1">
      <c r="C250" s="24"/>
      <c r="D250" s="25"/>
      <c r="I250" s="26"/>
      <c r="J250" s="26"/>
    </row>
    <row r="251" ht="15.75" customHeight="1">
      <c r="C251" s="24"/>
      <c r="D251" s="25"/>
      <c r="I251" s="26"/>
      <c r="J251" s="26"/>
    </row>
    <row r="252" ht="15.75" customHeight="1">
      <c r="C252" s="24"/>
      <c r="D252" s="25"/>
      <c r="I252" s="26"/>
      <c r="J252" s="26"/>
    </row>
    <row r="253" ht="15.75" customHeight="1">
      <c r="C253" s="24"/>
      <c r="D253" s="25"/>
      <c r="I253" s="26"/>
      <c r="J253" s="26"/>
    </row>
    <row r="254" ht="15.75" customHeight="1">
      <c r="C254" s="24"/>
      <c r="D254" s="25"/>
      <c r="I254" s="26"/>
      <c r="J254" s="26"/>
    </row>
    <row r="255" ht="15.75" customHeight="1">
      <c r="C255" s="24"/>
      <c r="D255" s="25"/>
      <c r="I255" s="26"/>
      <c r="J255" s="26"/>
    </row>
    <row r="256" ht="15.75" customHeight="1">
      <c r="C256" s="24"/>
      <c r="D256" s="25"/>
      <c r="I256" s="26"/>
      <c r="J256" s="26"/>
    </row>
    <row r="257" ht="15.75" customHeight="1">
      <c r="C257" s="24"/>
      <c r="D257" s="25"/>
      <c r="I257" s="26"/>
      <c r="J257" s="26"/>
    </row>
    <row r="258" ht="15.75" customHeight="1">
      <c r="C258" s="24"/>
      <c r="D258" s="25"/>
      <c r="I258" s="26"/>
      <c r="J258" s="26"/>
    </row>
    <row r="259" ht="15.75" customHeight="1">
      <c r="C259" s="24"/>
      <c r="D259" s="25"/>
      <c r="I259" s="26"/>
      <c r="J259" s="26"/>
    </row>
    <row r="260" ht="15.75" customHeight="1">
      <c r="C260" s="24"/>
      <c r="D260" s="25"/>
      <c r="I260" s="26"/>
      <c r="J260" s="26"/>
    </row>
    <row r="261" ht="15.75" customHeight="1">
      <c r="C261" s="24"/>
      <c r="D261" s="25"/>
      <c r="I261" s="26"/>
      <c r="J261" s="26"/>
    </row>
    <row r="262" ht="15.75" customHeight="1">
      <c r="C262" s="24"/>
      <c r="D262" s="25"/>
      <c r="I262" s="26"/>
      <c r="J262" s="26"/>
    </row>
    <row r="263" ht="15.75" customHeight="1">
      <c r="C263" s="24"/>
      <c r="D263" s="25"/>
      <c r="I263" s="26"/>
      <c r="J263" s="26"/>
    </row>
    <row r="264" ht="15.75" customHeight="1">
      <c r="C264" s="24"/>
      <c r="D264" s="25"/>
      <c r="I264" s="26"/>
      <c r="J264" s="26"/>
    </row>
    <row r="265" ht="15.75" customHeight="1">
      <c r="C265" s="24"/>
      <c r="D265" s="25"/>
      <c r="I265" s="26"/>
      <c r="J265" s="26"/>
    </row>
    <row r="266" ht="15.75" customHeight="1">
      <c r="C266" s="24"/>
      <c r="D266" s="25"/>
      <c r="I266" s="26"/>
      <c r="J266" s="26"/>
    </row>
    <row r="267" ht="15.75" customHeight="1">
      <c r="C267" s="24"/>
      <c r="D267" s="25"/>
      <c r="I267" s="26"/>
      <c r="J267" s="26"/>
    </row>
    <row r="268" ht="15.75" customHeight="1">
      <c r="C268" s="24"/>
      <c r="D268" s="25"/>
      <c r="I268" s="26"/>
      <c r="J268" s="26"/>
    </row>
    <row r="269" ht="15.75" customHeight="1">
      <c r="C269" s="24"/>
      <c r="D269" s="25"/>
      <c r="I269" s="26"/>
      <c r="J269" s="26"/>
    </row>
    <row r="270" ht="15.75" customHeight="1">
      <c r="C270" s="24"/>
      <c r="D270" s="25"/>
      <c r="I270" s="26"/>
      <c r="J270" s="26"/>
    </row>
    <row r="271" ht="15.75" customHeight="1">
      <c r="C271" s="24"/>
      <c r="D271" s="25"/>
      <c r="I271" s="26"/>
      <c r="J271" s="26"/>
    </row>
    <row r="272" ht="15.75" customHeight="1">
      <c r="C272" s="24"/>
      <c r="D272" s="25"/>
      <c r="I272" s="26"/>
      <c r="J272" s="26"/>
    </row>
    <row r="273" ht="15.75" customHeight="1">
      <c r="C273" s="24"/>
      <c r="D273" s="25"/>
      <c r="I273" s="26"/>
      <c r="J273" s="26"/>
    </row>
    <row r="274" ht="15.75" customHeight="1">
      <c r="C274" s="24"/>
      <c r="D274" s="25"/>
      <c r="I274" s="26"/>
      <c r="J274" s="26"/>
    </row>
    <row r="275" ht="15.75" customHeight="1">
      <c r="C275" s="24"/>
      <c r="D275" s="25"/>
      <c r="I275" s="26"/>
      <c r="J275" s="26"/>
    </row>
    <row r="276" ht="15.75" customHeight="1">
      <c r="C276" s="24"/>
      <c r="D276" s="25"/>
      <c r="I276" s="26"/>
      <c r="J276" s="26"/>
    </row>
    <row r="277" ht="15.75" customHeight="1">
      <c r="C277" s="24"/>
      <c r="D277" s="25"/>
      <c r="I277" s="26"/>
      <c r="J277" s="26"/>
    </row>
    <row r="278" ht="15.75" customHeight="1">
      <c r="C278" s="24"/>
      <c r="D278" s="25"/>
      <c r="I278" s="26"/>
      <c r="J278" s="26"/>
    </row>
    <row r="279" ht="15.75" customHeight="1">
      <c r="C279" s="24"/>
      <c r="D279" s="25"/>
      <c r="I279" s="26"/>
      <c r="J279" s="26"/>
    </row>
    <row r="280" ht="15.75" customHeight="1">
      <c r="C280" s="24"/>
      <c r="D280" s="25"/>
      <c r="I280" s="26"/>
      <c r="J280" s="26"/>
    </row>
    <row r="281" ht="15.75" customHeight="1">
      <c r="C281" s="24"/>
      <c r="D281" s="25"/>
      <c r="I281" s="26"/>
      <c r="J281" s="26"/>
    </row>
    <row r="282" ht="15.75" customHeight="1">
      <c r="C282" s="24"/>
      <c r="D282" s="25"/>
      <c r="I282" s="26"/>
      <c r="J282" s="26"/>
    </row>
    <row r="283" ht="15.75" customHeight="1">
      <c r="C283" s="24"/>
      <c r="D283" s="25"/>
      <c r="I283" s="26"/>
      <c r="J283" s="26"/>
    </row>
    <row r="284" ht="15.75" customHeight="1">
      <c r="C284" s="24"/>
      <c r="D284" s="25"/>
      <c r="I284" s="26"/>
      <c r="J284" s="26"/>
    </row>
    <row r="285" ht="15.75" customHeight="1">
      <c r="C285" s="24"/>
      <c r="D285" s="25"/>
      <c r="I285" s="26"/>
      <c r="J285" s="26"/>
    </row>
    <row r="286" ht="15.75" customHeight="1">
      <c r="C286" s="24"/>
      <c r="D286" s="25"/>
      <c r="I286" s="26"/>
      <c r="J286" s="26"/>
    </row>
    <row r="287" ht="15.75" customHeight="1">
      <c r="C287" s="24"/>
      <c r="D287" s="25"/>
      <c r="I287" s="26"/>
      <c r="J287" s="26"/>
    </row>
    <row r="288" ht="15.75" customHeight="1">
      <c r="C288" s="24"/>
      <c r="D288" s="25"/>
      <c r="I288" s="26"/>
      <c r="J288" s="26"/>
    </row>
    <row r="289" ht="15.75" customHeight="1">
      <c r="C289" s="24"/>
      <c r="D289" s="25"/>
      <c r="I289" s="26"/>
      <c r="J289" s="26"/>
    </row>
    <row r="290" ht="15.75" customHeight="1">
      <c r="C290" s="24"/>
      <c r="D290" s="25"/>
      <c r="I290" s="26"/>
      <c r="J290" s="26"/>
    </row>
    <row r="291" ht="15.75" customHeight="1">
      <c r="C291" s="24"/>
      <c r="D291" s="25"/>
      <c r="I291" s="26"/>
      <c r="J291" s="26"/>
    </row>
    <row r="292" ht="15.75" customHeight="1">
      <c r="C292" s="24"/>
      <c r="D292" s="25"/>
      <c r="I292" s="26"/>
      <c r="J292" s="26"/>
    </row>
    <row r="293" ht="15.75" customHeight="1">
      <c r="C293" s="24"/>
      <c r="D293" s="25"/>
      <c r="I293" s="26"/>
      <c r="J293" s="26"/>
    </row>
    <row r="294" ht="15.75" customHeight="1">
      <c r="C294" s="24"/>
      <c r="D294" s="25"/>
      <c r="I294" s="26"/>
      <c r="J294" s="26"/>
    </row>
    <row r="295" ht="15.75" customHeight="1">
      <c r="C295" s="24"/>
      <c r="D295" s="25"/>
      <c r="I295" s="26"/>
      <c r="J295" s="26"/>
    </row>
    <row r="296" ht="15.75" customHeight="1">
      <c r="C296" s="24"/>
      <c r="D296" s="25"/>
      <c r="I296" s="26"/>
      <c r="J296" s="26"/>
    </row>
    <row r="297" ht="15.75" customHeight="1">
      <c r="C297" s="24"/>
      <c r="D297" s="25"/>
      <c r="I297" s="26"/>
      <c r="J297" s="26"/>
    </row>
    <row r="298" ht="15.75" customHeight="1">
      <c r="C298" s="24"/>
      <c r="D298" s="25"/>
      <c r="I298" s="26"/>
      <c r="J298" s="26"/>
    </row>
    <row r="299" ht="15.75" customHeight="1">
      <c r="C299" s="24"/>
      <c r="D299" s="25"/>
      <c r="I299" s="26"/>
      <c r="J299" s="26"/>
    </row>
    <row r="300" ht="15.75" customHeight="1">
      <c r="C300" s="24"/>
      <c r="D300" s="25"/>
      <c r="I300" s="26"/>
      <c r="J300" s="26"/>
    </row>
    <row r="301" ht="15.75" customHeight="1">
      <c r="C301" s="24"/>
      <c r="D301" s="25"/>
      <c r="I301" s="26"/>
      <c r="J301" s="26"/>
    </row>
    <row r="302" ht="15.75" customHeight="1">
      <c r="C302" s="24"/>
      <c r="D302" s="25"/>
      <c r="I302" s="26"/>
      <c r="J302" s="26"/>
    </row>
    <row r="303" ht="15.75" customHeight="1">
      <c r="C303" s="24"/>
      <c r="D303" s="25"/>
      <c r="I303" s="26"/>
      <c r="J303" s="26"/>
    </row>
    <row r="304" ht="15.75" customHeight="1">
      <c r="C304" s="24"/>
      <c r="D304" s="25"/>
      <c r="I304" s="26"/>
      <c r="J304" s="26"/>
    </row>
    <row r="305" ht="15.75" customHeight="1">
      <c r="C305" s="24"/>
      <c r="D305" s="25"/>
      <c r="I305" s="26"/>
      <c r="J305" s="26"/>
    </row>
    <row r="306" ht="15.75" customHeight="1">
      <c r="C306" s="24"/>
      <c r="D306" s="25"/>
      <c r="I306" s="26"/>
      <c r="J306" s="26"/>
    </row>
    <row r="307" ht="15.75" customHeight="1">
      <c r="C307" s="24"/>
      <c r="D307" s="25"/>
      <c r="I307" s="26"/>
      <c r="J307" s="26"/>
    </row>
    <row r="308" ht="15.75" customHeight="1">
      <c r="C308" s="24"/>
      <c r="D308" s="25"/>
      <c r="I308" s="26"/>
      <c r="J308" s="26"/>
    </row>
    <row r="309" ht="15.75" customHeight="1">
      <c r="C309" s="24"/>
      <c r="D309" s="25"/>
      <c r="I309" s="26"/>
      <c r="J309" s="26"/>
    </row>
    <row r="310" ht="15.75" customHeight="1">
      <c r="C310" s="24"/>
      <c r="D310" s="25"/>
      <c r="I310" s="26"/>
      <c r="J310" s="26"/>
    </row>
    <row r="311" ht="15.75" customHeight="1">
      <c r="C311" s="24"/>
      <c r="D311" s="25"/>
      <c r="I311" s="26"/>
      <c r="J311" s="26"/>
    </row>
    <row r="312" ht="15.75" customHeight="1">
      <c r="C312" s="24"/>
      <c r="D312" s="25"/>
      <c r="I312" s="26"/>
      <c r="J312" s="26"/>
    </row>
    <row r="313" ht="15.75" customHeight="1">
      <c r="C313" s="24"/>
      <c r="D313" s="25"/>
      <c r="I313" s="26"/>
      <c r="J313" s="26"/>
    </row>
    <row r="314" ht="15.75" customHeight="1">
      <c r="C314" s="24"/>
      <c r="D314" s="25"/>
      <c r="I314" s="26"/>
      <c r="J314" s="26"/>
    </row>
    <row r="315" ht="15.75" customHeight="1">
      <c r="C315" s="24"/>
      <c r="D315" s="25"/>
      <c r="I315" s="26"/>
      <c r="J315" s="26"/>
    </row>
    <row r="316" ht="15.75" customHeight="1">
      <c r="C316" s="24"/>
      <c r="D316" s="25"/>
      <c r="I316" s="26"/>
      <c r="J316" s="26"/>
    </row>
    <row r="317" ht="15.75" customHeight="1">
      <c r="C317" s="24"/>
      <c r="D317" s="25"/>
      <c r="I317" s="26"/>
      <c r="J317" s="26"/>
    </row>
    <row r="318" ht="15.75" customHeight="1">
      <c r="C318" s="24"/>
      <c r="D318" s="25"/>
      <c r="I318" s="26"/>
      <c r="J318" s="26"/>
    </row>
    <row r="319" ht="15.75" customHeight="1">
      <c r="C319" s="24"/>
      <c r="D319" s="25"/>
      <c r="I319" s="26"/>
      <c r="J319" s="26"/>
    </row>
    <row r="320" ht="15.75" customHeight="1">
      <c r="C320" s="24"/>
      <c r="D320" s="25"/>
      <c r="I320" s="26"/>
      <c r="J320" s="26"/>
    </row>
    <row r="321" ht="15.75" customHeight="1">
      <c r="C321" s="24"/>
      <c r="D321" s="25"/>
      <c r="I321" s="26"/>
      <c r="J321" s="26"/>
    </row>
    <row r="322" ht="15.75" customHeight="1">
      <c r="C322" s="24"/>
      <c r="D322" s="25"/>
      <c r="I322" s="26"/>
      <c r="J322" s="26"/>
    </row>
    <row r="323" ht="15.75" customHeight="1">
      <c r="C323" s="24"/>
      <c r="D323" s="25"/>
      <c r="I323" s="26"/>
      <c r="J323" s="26"/>
    </row>
    <row r="324" ht="15.75" customHeight="1">
      <c r="C324" s="24"/>
      <c r="D324" s="25"/>
      <c r="I324" s="26"/>
      <c r="J324" s="26"/>
    </row>
    <row r="325" ht="15.75" customHeight="1">
      <c r="C325" s="24"/>
      <c r="D325" s="25"/>
      <c r="I325" s="26"/>
      <c r="J325" s="26"/>
    </row>
    <row r="326" ht="15.75" customHeight="1">
      <c r="C326" s="24"/>
      <c r="D326" s="25"/>
      <c r="I326" s="26"/>
      <c r="J326" s="26"/>
    </row>
    <row r="327" ht="15.75" customHeight="1">
      <c r="C327" s="24"/>
      <c r="D327" s="25"/>
      <c r="I327" s="26"/>
      <c r="J327" s="26"/>
    </row>
    <row r="328" ht="15.75" customHeight="1">
      <c r="C328" s="24"/>
      <c r="D328" s="25"/>
      <c r="I328" s="26"/>
      <c r="J328" s="26"/>
    </row>
    <row r="329" ht="15.75" customHeight="1">
      <c r="C329" s="24"/>
      <c r="D329" s="25"/>
      <c r="I329" s="26"/>
      <c r="J329" s="26"/>
    </row>
    <row r="330" ht="15.75" customHeight="1">
      <c r="C330" s="24"/>
      <c r="D330" s="25"/>
      <c r="I330" s="26"/>
      <c r="J330" s="26"/>
    </row>
    <row r="331" ht="15.75" customHeight="1">
      <c r="C331" s="24"/>
      <c r="D331" s="25"/>
      <c r="I331" s="26"/>
      <c r="J331" s="26"/>
    </row>
    <row r="332" ht="15.75" customHeight="1">
      <c r="C332" s="24"/>
      <c r="D332" s="25"/>
      <c r="I332" s="26"/>
      <c r="J332" s="26"/>
    </row>
    <row r="333" ht="15.75" customHeight="1">
      <c r="C333" s="24"/>
      <c r="D333" s="25"/>
      <c r="I333" s="26"/>
      <c r="J333" s="26"/>
    </row>
    <row r="334" ht="15.75" customHeight="1">
      <c r="C334" s="24"/>
      <c r="D334" s="25"/>
      <c r="I334" s="26"/>
      <c r="J334" s="26"/>
    </row>
    <row r="335" ht="15.75" customHeight="1">
      <c r="C335" s="24"/>
      <c r="D335" s="25"/>
      <c r="I335" s="26"/>
      <c r="J335" s="26"/>
    </row>
    <row r="336" ht="15.75" customHeight="1">
      <c r="C336" s="24"/>
      <c r="D336" s="25"/>
      <c r="I336" s="26"/>
      <c r="J336" s="26"/>
    </row>
    <row r="337" ht="15.75" customHeight="1">
      <c r="C337" s="24"/>
      <c r="D337" s="25"/>
      <c r="I337" s="26"/>
      <c r="J337" s="26"/>
    </row>
    <row r="338" ht="15.75" customHeight="1">
      <c r="C338" s="24"/>
      <c r="D338" s="25"/>
      <c r="I338" s="26"/>
      <c r="J338" s="26"/>
    </row>
    <row r="339" ht="15.75" customHeight="1">
      <c r="C339" s="24"/>
      <c r="D339" s="25"/>
      <c r="I339" s="26"/>
      <c r="J339" s="26"/>
    </row>
    <row r="340" ht="15.75" customHeight="1">
      <c r="C340" s="24"/>
      <c r="D340" s="25"/>
      <c r="I340" s="26"/>
      <c r="J340" s="26"/>
    </row>
    <row r="341" ht="15.75" customHeight="1">
      <c r="C341" s="24"/>
      <c r="D341" s="25"/>
      <c r="I341" s="26"/>
      <c r="J341" s="26"/>
    </row>
    <row r="342" ht="15.75" customHeight="1">
      <c r="C342" s="24"/>
      <c r="D342" s="25"/>
      <c r="I342" s="26"/>
      <c r="J342" s="26"/>
    </row>
    <row r="343" ht="15.75" customHeight="1">
      <c r="C343" s="24"/>
      <c r="D343" s="25"/>
      <c r="I343" s="26"/>
      <c r="J343" s="26"/>
    </row>
    <row r="344" ht="15.75" customHeight="1">
      <c r="C344" s="24"/>
      <c r="D344" s="25"/>
      <c r="I344" s="26"/>
      <c r="J344" s="26"/>
    </row>
    <row r="345" ht="15.75" customHeight="1">
      <c r="C345" s="24"/>
      <c r="D345" s="25"/>
      <c r="I345" s="26"/>
      <c r="J345" s="26"/>
    </row>
    <row r="346" ht="15.75" customHeight="1">
      <c r="C346" s="24"/>
      <c r="D346" s="25"/>
      <c r="I346" s="26"/>
      <c r="J346" s="26"/>
    </row>
    <row r="347" ht="15.75" customHeight="1">
      <c r="C347" s="24"/>
      <c r="D347" s="25"/>
      <c r="I347" s="26"/>
      <c r="J347" s="26"/>
    </row>
    <row r="348" ht="15.75" customHeight="1">
      <c r="C348" s="24"/>
      <c r="D348" s="25"/>
      <c r="I348" s="26"/>
      <c r="J348" s="26"/>
    </row>
    <row r="349" ht="15.75" customHeight="1">
      <c r="C349" s="24"/>
      <c r="D349" s="25"/>
      <c r="I349" s="26"/>
      <c r="J349" s="26"/>
    </row>
    <row r="350" ht="15.75" customHeight="1">
      <c r="C350" s="24"/>
      <c r="D350" s="25"/>
      <c r="I350" s="26"/>
      <c r="J350" s="26"/>
    </row>
    <row r="351" ht="15.75" customHeight="1">
      <c r="C351" s="24"/>
      <c r="D351" s="25"/>
      <c r="I351" s="26"/>
      <c r="J351" s="26"/>
    </row>
    <row r="352" ht="15.75" customHeight="1">
      <c r="C352" s="24"/>
      <c r="D352" s="25"/>
      <c r="I352" s="26"/>
      <c r="J352" s="26"/>
    </row>
    <row r="353" ht="15.75" customHeight="1">
      <c r="C353" s="24"/>
      <c r="D353" s="25"/>
      <c r="I353" s="26"/>
      <c r="J353" s="26"/>
    </row>
    <row r="354" ht="15.75" customHeight="1">
      <c r="C354" s="24"/>
      <c r="D354" s="25"/>
      <c r="I354" s="26"/>
      <c r="J354" s="26"/>
    </row>
    <row r="355" ht="15.75" customHeight="1">
      <c r="C355" s="24"/>
      <c r="D355" s="25"/>
      <c r="I355" s="26"/>
      <c r="J355" s="26"/>
    </row>
    <row r="356" ht="15.75" customHeight="1">
      <c r="C356" s="24"/>
      <c r="D356" s="25"/>
      <c r="I356" s="26"/>
      <c r="J356" s="26"/>
    </row>
    <row r="357" ht="15.75" customHeight="1">
      <c r="C357" s="24"/>
      <c r="D357" s="25"/>
      <c r="I357" s="26"/>
      <c r="J357" s="26"/>
    </row>
    <row r="358" ht="15.75" customHeight="1">
      <c r="C358" s="24"/>
      <c r="D358" s="25"/>
      <c r="I358" s="26"/>
      <c r="J358" s="26"/>
    </row>
    <row r="359" ht="15.75" customHeight="1">
      <c r="C359" s="24"/>
      <c r="D359" s="25"/>
      <c r="I359" s="26"/>
      <c r="J359" s="26"/>
    </row>
    <row r="360" ht="15.75" customHeight="1">
      <c r="C360" s="24"/>
      <c r="D360" s="25"/>
      <c r="I360" s="26"/>
      <c r="J360" s="26"/>
    </row>
    <row r="361" ht="15.75" customHeight="1">
      <c r="C361" s="24"/>
      <c r="D361" s="25"/>
      <c r="I361" s="26"/>
      <c r="J361" s="26"/>
    </row>
    <row r="362" ht="15.75" customHeight="1">
      <c r="C362" s="24"/>
      <c r="D362" s="25"/>
      <c r="I362" s="26"/>
      <c r="J362" s="26"/>
    </row>
    <row r="363" ht="15.75" customHeight="1">
      <c r="C363" s="24"/>
      <c r="D363" s="25"/>
      <c r="I363" s="26"/>
      <c r="J363" s="26"/>
    </row>
    <row r="364" ht="15.75" customHeight="1">
      <c r="C364" s="24"/>
      <c r="D364" s="25"/>
      <c r="I364" s="26"/>
      <c r="J364" s="26"/>
    </row>
    <row r="365" ht="15.75" customHeight="1">
      <c r="C365" s="24"/>
      <c r="D365" s="25"/>
      <c r="I365" s="26"/>
      <c r="J365" s="26"/>
    </row>
    <row r="366" ht="15.75" customHeight="1">
      <c r="C366" s="24"/>
      <c r="D366" s="25"/>
      <c r="I366" s="26"/>
      <c r="J366" s="26"/>
    </row>
    <row r="367" ht="15.75" customHeight="1">
      <c r="C367" s="24"/>
      <c r="D367" s="25"/>
      <c r="I367" s="26"/>
      <c r="J367" s="26"/>
    </row>
    <row r="368" ht="15.75" customHeight="1">
      <c r="C368" s="24"/>
      <c r="D368" s="25"/>
      <c r="I368" s="26"/>
      <c r="J368" s="26"/>
    </row>
    <row r="369" ht="15.75" customHeight="1">
      <c r="C369" s="24"/>
      <c r="D369" s="25"/>
      <c r="I369" s="26"/>
      <c r="J369" s="26"/>
    </row>
    <row r="370" ht="15.75" customHeight="1">
      <c r="C370" s="24"/>
      <c r="D370" s="25"/>
      <c r="I370" s="26"/>
      <c r="J370" s="26"/>
    </row>
    <row r="371" ht="15.75" customHeight="1">
      <c r="C371" s="24"/>
      <c r="D371" s="25"/>
      <c r="I371" s="26"/>
      <c r="J371" s="26"/>
    </row>
    <row r="372" ht="15.75" customHeight="1">
      <c r="C372" s="24"/>
      <c r="D372" s="25"/>
      <c r="I372" s="26"/>
      <c r="J372" s="26"/>
    </row>
    <row r="373" ht="15.75" customHeight="1">
      <c r="C373" s="24"/>
      <c r="D373" s="25"/>
      <c r="I373" s="26"/>
      <c r="J373" s="26"/>
    </row>
    <row r="374" ht="15.75" customHeight="1">
      <c r="C374" s="24"/>
      <c r="D374" s="25"/>
      <c r="I374" s="26"/>
      <c r="J374" s="26"/>
    </row>
    <row r="375" ht="15.75" customHeight="1">
      <c r="C375" s="24"/>
      <c r="D375" s="25"/>
      <c r="I375" s="26"/>
      <c r="J375" s="26"/>
    </row>
    <row r="376" ht="15.75" customHeight="1">
      <c r="C376" s="24"/>
      <c r="D376" s="25"/>
      <c r="I376" s="26"/>
      <c r="J376" s="26"/>
    </row>
    <row r="377" ht="15.75" customHeight="1">
      <c r="C377" s="24"/>
      <c r="D377" s="25"/>
      <c r="I377" s="26"/>
      <c r="J377" s="26"/>
    </row>
    <row r="378" ht="15.75" customHeight="1">
      <c r="C378" s="24"/>
      <c r="D378" s="25"/>
      <c r="I378" s="26"/>
      <c r="J378" s="26"/>
    </row>
    <row r="379" ht="15.75" customHeight="1">
      <c r="C379" s="24"/>
      <c r="D379" s="25"/>
      <c r="I379" s="26"/>
      <c r="J379" s="26"/>
    </row>
    <row r="380" ht="15.75" customHeight="1">
      <c r="C380" s="24"/>
      <c r="D380" s="25"/>
      <c r="I380" s="26"/>
      <c r="J380" s="26"/>
    </row>
    <row r="381" ht="15.75" customHeight="1">
      <c r="C381" s="24"/>
      <c r="D381" s="25"/>
      <c r="I381" s="26"/>
      <c r="J381" s="26"/>
    </row>
    <row r="382" ht="15.75" customHeight="1">
      <c r="C382" s="24"/>
      <c r="D382" s="25"/>
      <c r="I382" s="26"/>
      <c r="J382" s="26"/>
    </row>
    <row r="383" ht="15.75" customHeight="1">
      <c r="C383" s="24"/>
      <c r="D383" s="25"/>
      <c r="I383" s="26"/>
      <c r="J383" s="26"/>
    </row>
    <row r="384" ht="15.75" customHeight="1">
      <c r="C384" s="24"/>
      <c r="D384" s="25"/>
      <c r="I384" s="26"/>
      <c r="J384" s="26"/>
    </row>
    <row r="385" ht="15.75" customHeight="1">
      <c r="C385" s="24"/>
      <c r="D385" s="25"/>
      <c r="I385" s="26"/>
      <c r="J385" s="26"/>
    </row>
    <row r="386" ht="15.75" customHeight="1">
      <c r="C386" s="24"/>
      <c r="D386" s="25"/>
      <c r="I386" s="26"/>
      <c r="J386" s="26"/>
    </row>
    <row r="387" ht="15.75" customHeight="1">
      <c r="C387" s="24"/>
      <c r="D387" s="25"/>
      <c r="I387" s="26"/>
      <c r="J387" s="26"/>
    </row>
    <row r="388" ht="15.75" customHeight="1">
      <c r="C388" s="24"/>
      <c r="D388" s="25"/>
      <c r="I388" s="26"/>
      <c r="J388" s="26"/>
    </row>
    <row r="389" ht="15.75" customHeight="1">
      <c r="C389" s="24"/>
      <c r="D389" s="25"/>
      <c r="I389" s="26"/>
      <c r="J389" s="26"/>
    </row>
    <row r="390" ht="15.75" customHeight="1">
      <c r="C390" s="24"/>
      <c r="D390" s="25"/>
      <c r="I390" s="26"/>
      <c r="J390" s="26"/>
    </row>
    <row r="391" ht="15.75" customHeight="1">
      <c r="C391" s="24"/>
      <c r="D391" s="25"/>
      <c r="I391" s="26"/>
      <c r="J391" s="26"/>
    </row>
    <row r="392" ht="15.75" customHeight="1">
      <c r="C392" s="24"/>
      <c r="D392" s="25"/>
      <c r="I392" s="26"/>
      <c r="J392" s="26"/>
    </row>
    <row r="393" ht="15.75" customHeight="1">
      <c r="C393" s="24"/>
      <c r="D393" s="25"/>
      <c r="I393" s="26"/>
      <c r="J393" s="26"/>
    </row>
    <row r="394" ht="15.75" customHeight="1">
      <c r="C394" s="24"/>
      <c r="D394" s="25"/>
      <c r="I394" s="26"/>
      <c r="J394" s="26"/>
    </row>
    <row r="395" ht="15.75" customHeight="1">
      <c r="C395" s="24"/>
      <c r="D395" s="25"/>
      <c r="I395" s="26"/>
      <c r="J395" s="26"/>
    </row>
    <row r="396" ht="15.75" customHeight="1">
      <c r="C396" s="24"/>
      <c r="D396" s="25"/>
      <c r="I396" s="26"/>
      <c r="J396" s="26"/>
    </row>
    <row r="397" ht="15.75" customHeight="1">
      <c r="C397" s="24"/>
      <c r="D397" s="25"/>
      <c r="I397" s="26"/>
      <c r="J397" s="26"/>
    </row>
    <row r="398" ht="15.75" customHeight="1">
      <c r="C398" s="24"/>
      <c r="D398" s="25"/>
      <c r="I398" s="26"/>
      <c r="J398" s="26"/>
    </row>
    <row r="399" ht="15.75" customHeight="1">
      <c r="C399" s="24"/>
      <c r="D399" s="25"/>
      <c r="I399" s="26"/>
      <c r="J399" s="26"/>
    </row>
    <row r="400" ht="15.75" customHeight="1">
      <c r="C400" s="24"/>
      <c r="D400" s="25"/>
      <c r="I400" s="26"/>
      <c r="J400" s="26"/>
    </row>
    <row r="401" ht="15.75" customHeight="1">
      <c r="C401" s="24"/>
      <c r="D401" s="25"/>
      <c r="I401" s="26"/>
      <c r="J401" s="26"/>
    </row>
    <row r="402" ht="15.75" customHeight="1">
      <c r="C402" s="24"/>
      <c r="D402" s="25"/>
      <c r="I402" s="26"/>
      <c r="J402" s="26"/>
    </row>
    <row r="403" ht="15.75" customHeight="1">
      <c r="C403" s="24"/>
      <c r="D403" s="25"/>
      <c r="I403" s="26"/>
      <c r="J403" s="26"/>
    </row>
    <row r="404" ht="15.75" customHeight="1">
      <c r="C404" s="24"/>
      <c r="D404" s="25"/>
      <c r="I404" s="26"/>
      <c r="J404" s="26"/>
    </row>
    <row r="405" ht="15.75" customHeight="1">
      <c r="C405" s="24"/>
      <c r="D405" s="25"/>
      <c r="I405" s="26"/>
      <c r="J405" s="26"/>
    </row>
    <row r="406" ht="15.75" customHeight="1">
      <c r="C406" s="24"/>
      <c r="D406" s="25"/>
      <c r="I406" s="26"/>
      <c r="J406" s="26"/>
    </row>
    <row r="407" ht="15.75" customHeight="1">
      <c r="C407" s="24"/>
      <c r="D407" s="25"/>
      <c r="I407" s="26"/>
      <c r="J407" s="26"/>
    </row>
    <row r="408" ht="15.75" customHeight="1">
      <c r="C408" s="24"/>
      <c r="D408" s="25"/>
      <c r="I408" s="26"/>
      <c r="J408" s="26"/>
    </row>
    <row r="409" ht="15.75" customHeight="1">
      <c r="C409" s="24"/>
      <c r="D409" s="25"/>
      <c r="I409" s="26"/>
      <c r="J409" s="26"/>
    </row>
    <row r="410" ht="15.75" customHeight="1">
      <c r="C410" s="24"/>
      <c r="D410" s="25"/>
      <c r="I410" s="26"/>
      <c r="J410" s="26"/>
    </row>
    <row r="411" ht="15.75" customHeight="1">
      <c r="C411" s="24"/>
      <c r="D411" s="25"/>
      <c r="I411" s="26"/>
      <c r="J411" s="26"/>
    </row>
    <row r="412" ht="15.75" customHeight="1">
      <c r="C412" s="24"/>
      <c r="D412" s="25"/>
      <c r="I412" s="26"/>
      <c r="J412" s="26"/>
    </row>
    <row r="413" ht="15.75" customHeight="1">
      <c r="C413" s="24"/>
      <c r="D413" s="25"/>
      <c r="I413" s="26"/>
      <c r="J413" s="26"/>
    </row>
    <row r="414" ht="15.75" customHeight="1">
      <c r="C414" s="24"/>
      <c r="D414" s="25"/>
      <c r="I414" s="26"/>
      <c r="J414" s="26"/>
    </row>
    <row r="415" ht="15.75" customHeight="1">
      <c r="C415" s="24"/>
      <c r="D415" s="25"/>
      <c r="I415" s="26"/>
      <c r="J415" s="26"/>
    </row>
    <row r="416" ht="15.75" customHeight="1">
      <c r="C416" s="24"/>
      <c r="D416" s="25"/>
      <c r="I416" s="26"/>
      <c r="J416" s="26"/>
    </row>
    <row r="417" ht="15.75" customHeight="1">
      <c r="C417" s="24"/>
      <c r="D417" s="25"/>
      <c r="I417" s="26"/>
      <c r="J417" s="26"/>
    </row>
    <row r="418" ht="15.75" customHeight="1">
      <c r="C418" s="24"/>
      <c r="D418" s="25"/>
      <c r="I418" s="26"/>
      <c r="J418" s="26"/>
    </row>
    <row r="419" ht="15.75" customHeight="1">
      <c r="C419" s="24"/>
      <c r="D419" s="25"/>
      <c r="I419" s="26"/>
      <c r="J419" s="26"/>
    </row>
    <row r="420" ht="15.75" customHeight="1">
      <c r="C420" s="24"/>
      <c r="D420" s="25"/>
      <c r="I420" s="26"/>
      <c r="J420" s="26"/>
    </row>
    <row r="421" ht="15.75" customHeight="1">
      <c r="C421" s="24"/>
      <c r="D421" s="25"/>
      <c r="I421" s="26"/>
      <c r="J421" s="26"/>
    </row>
    <row r="422" ht="15.75" customHeight="1">
      <c r="C422" s="24"/>
      <c r="D422" s="25"/>
      <c r="I422" s="26"/>
      <c r="J422" s="26"/>
    </row>
    <row r="423" ht="15.75" customHeight="1">
      <c r="C423" s="24"/>
      <c r="D423" s="25"/>
      <c r="I423" s="26"/>
      <c r="J423" s="26"/>
    </row>
    <row r="424" ht="15.75" customHeight="1">
      <c r="C424" s="24"/>
      <c r="D424" s="25"/>
      <c r="I424" s="26"/>
      <c r="J424" s="26"/>
    </row>
    <row r="425" ht="15.75" customHeight="1">
      <c r="C425" s="24"/>
      <c r="D425" s="25"/>
      <c r="I425" s="26"/>
      <c r="J425" s="26"/>
    </row>
    <row r="426" ht="15.75" customHeight="1">
      <c r="C426" s="24"/>
      <c r="D426" s="25"/>
      <c r="I426" s="26"/>
      <c r="J426" s="26"/>
    </row>
    <row r="427" ht="15.75" customHeight="1">
      <c r="C427" s="24"/>
      <c r="D427" s="25"/>
      <c r="I427" s="26"/>
      <c r="J427" s="26"/>
    </row>
    <row r="428" ht="15.75" customHeight="1">
      <c r="C428" s="24"/>
      <c r="D428" s="25"/>
      <c r="I428" s="26"/>
      <c r="J428" s="26"/>
    </row>
    <row r="429" ht="15.75" customHeight="1">
      <c r="C429" s="24"/>
      <c r="D429" s="25"/>
      <c r="I429" s="26"/>
      <c r="J429" s="26"/>
    </row>
    <row r="430" ht="15.75" customHeight="1">
      <c r="C430" s="24"/>
      <c r="D430" s="25"/>
      <c r="I430" s="26"/>
      <c r="J430" s="26"/>
    </row>
    <row r="431" ht="15.75" customHeight="1">
      <c r="C431" s="24"/>
      <c r="D431" s="25"/>
      <c r="I431" s="26"/>
      <c r="J431" s="26"/>
    </row>
    <row r="432" ht="15.75" customHeight="1">
      <c r="C432" s="24"/>
      <c r="D432" s="25"/>
      <c r="I432" s="26"/>
      <c r="J432" s="26"/>
    </row>
    <row r="433" ht="15.75" customHeight="1">
      <c r="C433" s="24"/>
      <c r="D433" s="25"/>
      <c r="I433" s="26"/>
      <c r="J433" s="26"/>
    </row>
    <row r="434" ht="15.75" customHeight="1">
      <c r="C434" s="24"/>
      <c r="D434" s="25"/>
      <c r="I434" s="26"/>
      <c r="J434" s="26"/>
    </row>
    <row r="435" ht="15.75" customHeight="1">
      <c r="C435" s="24"/>
      <c r="D435" s="25"/>
      <c r="I435" s="26"/>
      <c r="J435" s="26"/>
    </row>
    <row r="436" ht="15.75" customHeight="1">
      <c r="C436" s="24"/>
      <c r="D436" s="25"/>
      <c r="I436" s="26"/>
      <c r="J436" s="26"/>
    </row>
    <row r="437" ht="15.75" customHeight="1">
      <c r="C437" s="24"/>
      <c r="D437" s="25"/>
      <c r="I437" s="26"/>
      <c r="J437" s="26"/>
    </row>
    <row r="438" ht="15.75" customHeight="1">
      <c r="C438" s="24"/>
      <c r="D438" s="25"/>
      <c r="I438" s="26"/>
      <c r="J438" s="26"/>
    </row>
    <row r="439" ht="15.75" customHeight="1">
      <c r="C439" s="24"/>
      <c r="D439" s="25"/>
      <c r="I439" s="26"/>
      <c r="J439" s="26"/>
    </row>
    <row r="440" ht="15.75" customHeight="1">
      <c r="C440" s="24"/>
      <c r="D440" s="25"/>
      <c r="I440" s="26"/>
      <c r="J440" s="26"/>
    </row>
    <row r="441" ht="15.75" customHeight="1">
      <c r="C441" s="24"/>
      <c r="D441" s="25"/>
      <c r="I441" s="26"/>
      <c r="J441" s="26"/>
    </row>
    <row r="442" ht="15.75" customHeight="1">
      <c r="C442" s="24"/>
      <c r="D442" s="25"/>
      <c r="I442" s="26"/>
      <c r="J442" s="26"/>
    </row>
    <row r="443" ht="15.75" customHeight="1">
      <c r="C443" s="24"/>
      <c r="D443" s="25"/>
      <c r="I443" s="26"/>
      <c r="J443" s="26"/>
    </row>
    <row r="444" ht="15.75" customHeight="1">
      <c r="C444" s="24"/>
      <c r="D444" s="25"/>
      <c r="I444" s="26"/>
      <c r="J444" s="26"/>
    </row>
    <row r="445" ht="15.75" customHeight="1">
      <c r="C445" s="24"/>
      <c r="D445" s="25"/>
      <c r="I445" s="26"/>
      <c r="J445" s="26"/>
    </row>
    <row r="446" ht="15.75" customHeight="1">
      <c r="C446" s="24"/>
      <c r="D446" s="25"/>
      <c r="I446" s="26"/>
      <c r="J446" s="26"/>
    </row>
    <row r="447" ht="15.75" customHeight="1">
      <c r="C447" s="24"/>
      <c r="D447" s="25"/>
      <c r="I447" s="26"/>
      <c r="J447" s="26"/>
    </row>
    <row r="448" ht="15.75" customHeight="1">
      <c r="C448" s="24"/>
      <c r="D448" s="25"/>
      <c r="I448" s="26"/>
      <c r="J448" s="26"/>
    </row>
    <row r="449" ht="15.75" customHeight="1">
      <c r="C449" s="24"/>
      <c r="D449" s="25"/>
      <c r="I449" s="26"/>
      <c r="J449" s="26"/>
    </row>
    <row r="450" ht="15.75" customHeight="1">
      <c r="C450" s="24"/>
      <c r="D450" s="25"/>
      <c r="I450" s="26"/>
      <c r="J450" s="26"/>
    </row>
    <row r="451" ht="15.75" customHeight="1">
      <c r="C451" s="24"/>
      <c r="D451" s="25"/>
      <c r="I451" s="26"/>
      <c r="J451" s="26"/>
    </row>
    <row r="452" ht="15.75" customHeight="1">
      <c r="C452" s="24"/>
      <c r="D452" s="25"/>
      <c r="I452" s="26"/>
      <c r="J452" s="26"/>
    </row>
    <row r="453" ht="15.75" customHeight="1">
      <c r="C453" s="24"/>
      <c r="D453" s="25"/>
      <c r="I453" s="26"/>
      <c r="J453" s="26"/>
    </row>
    <row r="454" ht="15.75" customHeight="1">
      <c r="C454" s="24"/>
      <c r="D454" s="25"/>
      <c r="I454" s="26"/>
      <c r="J454" s="26"/>
    </row>
    <row r="455" ht="15.75" customHeight="1">
      <c r="C455" s="24"/>
      <c r="D455" s="25"/>
      <c r="I455" s="26"/>
      <c r="J455" s="26"/>
    </row>
    <row r="456" ht="15.75" customHeight="1">
      <c r="C456" s="24"/>
      <c r="D456" s="25"/>
      <c r="I456" s="26"/>
      <c r="J456" s="26"/>
    </row>
    <row r="457" ht="15.75" customHeight="1">
      <c r="C457" s="24"/>
      <c r="D457" s="25"/>
      <c r="I457" s="26"/>
      <c r="J457" s="26"/>
    </row>
    <row r="458" ht="15.75" customHeight="1">
      <c r="C458" s="24"/>
      <c r="D458" s="25"/>
      <c r="I458" s="26"/>
      <c r="J458" s="26"/>
    </row>
    <row r="459" ht="15.75" customHeight="1">
      <c r="C459" s="24"/>
      <c r="D459" s="25"/>
      <c r="I459" s="26"/>
      <c r="J459" s="26"/>
    </row>
    <row r="460" ht="15.75" customHeight="1">
      <c r="C460" s="24"/>
      <c r="D460" s="25"/>
      <c r="I460" s="26"/>
      <c r="J460" s="26"/>
    </row>
    <row r="461" ht="15.75" customHeight="1">
      <c r="C461" s="24"/>
      <c r="D461" s="25"/>
      <c r="I461" s="26"/>
      <c r="J461" s="26"/>
    </row>
    <row r="462" ht="15.75" customHeight="1">
      <c r="C462" s="24"/>
      <c r="D462" s="25"/>
      <c r="I462" s="26"/>
      <c r="J462" s="26"/>
    </row>
    <row r="463" ht="15.75" customHeight="1">
      <c r="C463" s="24"/>
      <c r="D463" s="25"/>
      <c r="I463" s="26"/>
      <c r="J463" s="26"/>
    </row>
    <row r="464" ht="15.75" customHeight="1">
      <c r="C464" s="24"/>
      <c r="D464" s="25"/>
      <c r="I464" s="26"/>
      <c r="J464" s="26"/>
    </row>
    <row r="465" ht="15.75" customHeight="1">
      <c r="C465" s="24"/>
      <c r="D465" s="25"/>
      <c r="I465" s="26"/>
      <c r="J465" s="26"/>
    </row>
    <row r="466" ht="15.75" customHeight="1">
      <c r="C466" s="24"/>
      <c r="D466" s="25"/>
      <c r="I466" s="26"/>
      <c r="J466" s="26"/>
    </row>
    <row r="467" ht="15.75" customHeight="1">
      <c r="C467" s="24"/>
      <c r="D467" s="25"/>
      <c r="I467" s="26"/>
      <c r="J467" s="26"/>
    </row>
    <row r="468" ht="15.75" customHeight="1">
      <c r="C468" s="24"/>
      <c r="D468" s="25"/>
      <c r="I468" s="26"/>
      <c r="J468" s="26"/>
    </row>
    <row r="469" ht="15.75" customHeight="1">
      <c r="C469" s="24"/>
      <c r="D469" s="25"/>
      <c r="I469" s="26"/>
      <c r="J469" s="26"/>
    </row>
    <row r="470" ht="15.75" customHeight="1">
      <c r="C470" s="24"/>
      <c r="D470" s="25"/>
      <c r="I470" s="26"/>
      <c r="J470" s="26"/>
    </row>
    <row r="471" ht="15.75" customHeight="1">
      <c r="C471" s="24"/>
      <c r="D471" s="25"/>
      <c r="I471" s="26"/>
      <c r="J471" s="26"/>
    </row>
    <row r="472" ht="15.75" customHeight="1">
      <c r="C472" s="24"/>
      <c r="D472" s="25"/>
      <c r="I472" s="26"/>
      <c r="J472" s="26"/>
    </row>
    <row r="473" ht="15.75" customHeight="1">
      <c r="C473" s="24"/>
      <c r="D473" s="25"/>
      <c r="I473" s="26"/>
      <c r="J473" s="26"/>
    </row>
    <row r="474" ht="15.75" customHeight="1">
      <c r="C474" s="24"/>
      <c r="D474" s="25"/>
      <c r="I474" s="26"/>
      <c r="J474" s="26"/>
    </row>
    <row r="475" ht="15.75" customHeight="1">
      <c r="C475" s="24"/>
      <c r="D475" s="25"/>
      <c r="I475" s="26"/>
      <c r="J475" s="26"/>
    </row>
    <row r="476" ht="15.75" customHeight="1">
      <c r="C476" s="24"/>
      <c r="D476" s="25"/>
      <c r="I476" s="26"/>
      <c r="J476" s="26"/>
    </row>
    <row r="477" ht="15.75" customHeight="1">
      <c r="C477" s="24"/>
      <c r="D477" s="25"/>
      <c r="I477" s="26"/>
      <c r="J477" s="26"/>
    </row>
    <row r="478" ht="15.75" customHeight="1">
      <c r="C478" s="24"/>
      <c r="D478" s="25"/>
      <c r="I478" s="26"/>
      <c r="J478" s="26"/>
    </row>
    <row r="479" ht="15.75" customHeight="1">
      <c r="C479" s="24"/>
      <c r="D479" s="25"/>
      <c r="I479" s="26"/>
      <c r="J479" s="26"/>
    </row>
    <row r="480" ht="15.75" customHeight="1">
      <c r="C480" s="24"/>
      <c r="D480" s="25"/>
      <c r="I480" s="26"/>
      <c r="J480" s="26"/>
    </row>
    <row r="481" ht="15.75" customHeight="1">
      <c r="C481" s="24"/>
      <c r="D481" s="25"/>
      <c r="I481" s="26"/>
      <c r="J481" s="26"/>
    </row>
    <row r="482" ht="15.75" customHeight="1">
      <c r="C482" s="24"/>
      <c r="D482" s="25"/>
      <c r="I482" s="26"/>
      <c r="J482" s="26"/>
    </row>
    <row r="483" ht="15.75" customHeight="1">
      <c r="C483" s="24"/>
      <c r="D483" s="25"/>
      <c r="I483" s="26"/>
      <c r="J483" s="26"/>
    </row>
    <row r="484" ht="15.75" customHeight="1">
      <c r="C484" s="24"/>
      <c r="D484" s="25"/>
      <c r="I484" s="26"/>
      <c r="J484" s="26"/>
    </row>
    <row r="485" ht="15.75" customHeight="1">
      <c r="C485" s="24"/>
      <c r="D485" s="25"/>
      <c r="I485" s="26"/>
      <c r="J485" s="26"/>
    </row>
    <row r="486" ht="15.75" customHeight="1">
      <c r="C486" s="24"/>
      <c r="D486" s="25"/>
      <c r="I486" s="26"/>
      <c r="J486" s="26"/>
    </row>
    <row r="487" ht="15.75" customHeight="1">
      <c r="C487" s="24"/>
      <c r="D487" s="25"/>
      <c r="I487" s="26"/>
      <c r="J487" s="26"/>
    </row>
    <row r="488" ht="15.75" customHeight="1">
      <c r="C488" s="24"/>
      <c r="D488" s="25"/>
      <c r="I488" s="26"/>
      <c r="J488" s="26"/>
    </row>
    <row r="489" ht="15.75" customHeight="1">
      <c r="C489" s="24"/>
      <c r="D489" s="25"/>
      <c r="I489" s="26"/>
      <c r="J489" s="26"/>
    </row>
    <row r="490" ht="15.75" customHeight="1">
      <c r="C490" s="24"/>
      <c r="D490" s="25"/>
      <c r="I490" s="26"/>
      <c r="J490" s="26"/>
    </row>
    <row r="491" ht="15.75" customHeight="1">
      <c r="C491" s="24"/>
      <c r="D491" s="25"/>
      <c r="I491" s="26"/>
      <c r="J491" s="26"/>
    </row>
    <row r="492" ht="15.75" customHeight="1">
      <c r="C492" s="24"/>
      <c r="D492" s="25"/>
      <c r="I492" s="26"/>
      <c r="J492" s="26"/>
    </row>
    <row r="493" ht="15.75" customHeight="1">
      <c r="C493" s="24"/>
      <c r="D493" s="25"/>
      <c r="I493" s="26"/>
      <c r="J493" s="26"/>
    </row>
    <row r="494" ht="15.75" customHeight="1">
      <c r="C494" s="24"/>
      <c r="D494" s="25"/>
      <c r="I494" s="26"/>
      <c r="J494" s="26"/>
    </row>
    <row r="495" ht="15.75" customHeight="1">
      <c r="C495" s="24"/>
      <c r="D495" s="25"/>
      <c r="I495" s="26"/>
      <c r="J495" s="26"/>
    </row>
    <row r="496" ht="15.75" customHeight="1">
      <c r="C496" s="24"/>
      <c r="D496" s="25"/>
      <c r="I496" s="26"/>
      <c r="J496" s="26"/>
    </row>
    <row r="497" ht="15.75" customHeight="1">
      <c r="C497" s="24"/>
      <c r="D497" s="25"/>
      <c r="I497" s="26"/>
      <c r="J497" s="26"/>
    </row>
    <row r="498" ht="15.75" customHeight="1">
      <c r="C498" s="24"/>
      <c r="D498" s="25"/>
      <c r="I498" s="26"/>
      <c r="J498" s="26"/>
    </row>
    <row r="499" ht="15.75" customHeight="1">
      <c r="C499" s="24"/>
      <c r="D499" s="25"/>
      <c r="I499" s="26"/>
      <c r="J499" s="26"/>
    </row>
    <row r="500" ht="15.75" customHeight="1">
      <c r="C500" s="24"/>
      <c r="D500" s="25"/>
      <c r="I500" s="26"/>
      <c r="J500" s="26"/>
    </row>
    <row r="501" ht="15.75" customHeight="1">
      <c r="C501" s="24"/>
      <c r="D501" s="25"/>
      <c r="I501" s="26"/>
      <c r="J501" s="26"/>
    </row>
    <row r="502" ht="15.75" customHeight="1">
      <c r="C502" s="24"/>
      <c r="D502" s="25"/>
      <c r="I502" s="26"/>
      <c r="J502" s="26"/>
    </row>
    <row r="503" ht="15.75" customHeight="1">
      <c r="C503" s="24"/>
      <c r="D503" s="25"/>
      <c r="I503" s="26"/>
      <c r="J503" s="26"/>
    </row>
    <row r="504" ht="15.75" customHeight="1">
      <c r="C504" s="24"/>
      <c r="D504" s="25"/>
      <c r="I504" s="26"/>
      <c r="J504" s="26"/>
    </row>
    <row r="505" ht="15.75" customHeight="1">
      <c r="C505" s="24"/>
      <c r="D505" s="25"/>
      <c r="I505" s="26"/>
      <c r="J505" s="26"/>
    </row>
    <row r="506" ht="15.75" customHeight="1">
      <c r="C506" s="24"/>
      <c r="D506" s="25"/>
      <c r="I506" s="26"/>
      <c r="J506" s="26"/>
    </row>
    <row r="507" ht="15.75" customHeight="1">
      <c r="C507" s="24"/>
      <c r="D507" s="25"/>
      <c r="I507" s="26"/>
      <c r="J507" s="26"/>
    </row>
    <row r="508" ht="15.75" customHeight="1">
      <c r="C508" s="24"/>
      <c r="D508" s="25"/>
      <c r="I508" s="26"/>
      <c r="J508" s="26"/>
    </row>
    <row r="509" ht="15.75" customHeight="1">
      <c r="C509" s="24"/>
      <c r="D509" s="25"/>
      <c r="I509" s="26"/>
      <c r="J509" s="26"/>
    </row>
    <row r="510" ht="15.75" customHeight="1">
      <c r="C510" s="24"/>
      <c r="D510" s="25"/>
      <c r="I510" s="26"/>
      <c r="J510" s="26"/>
    </row>
    <row r="511" ht="15.75" customHeight="1">
      <c r="C511" s="24"/>
      <c r="D511" s="25"/>
      <c r="I511" s="26"/>
      <c r="J511" s="26"/>
    </row>
    <row r="512" ht="15.75" customHeight="1">
      <c r="C512" s="24"/>
      <c r="D512" s="25"/>
      <c r="I512" s="26"/>
      <c r="J512" s="26"/>
    </row>
    <row r="513" ht="15.75" customHeight="1">
      <c r="C513" s="24"/>
      <c r="D513" s="25"/>
      <c r="I513" s="26"/>
      <c r="J513" s="26"/>
    </row>
    <row r="514" ht="15.75" customHeight="1">
      <c r="C514" s="24"/>
      <c r="D514" s="25"/>
      <c r="I514" s="26"/>
      <c r="J514" s="26"/>
    </row>
    <row r="515" ht="15.75" customHeight="1">
      <c r="C515" s="24"/>
      <c r="D515" s="25"/>
      <c r="I515" s="26"/>
      <c r="J515" s="26"/>
    </row>
    <row r="516" ht="15.75" customHeight="1">
      <c r="C516" s="24"/>
      <c r="D516" s="25"/>
      <c r="I516" s="26"/>
      <c r="J516" s="26"/>
    </row>
    <row r="517" ht="15.75" customHeight="1">
      <c r="C517" s="24"/>
      <c r="D517" s="25"/>
      <c r="I517" s="26"/>
      <c r="J517" s="26"/>
    </row>
    <row r="518" ht="15.75" customHeight="1">
      <c r="C518" s="24"/>
      <c r="D518" s="25"/>
      <c r="I518" s="26"/>
      <c r="J518" s="26"/>
    </row>
    <row r="519" ht="15.75" customHeight="1">
      <c r="C519" s="24"/>
      <c r="D519" s="25"/>
      <c r="I519" s="26"/>
      <c r="J519" s="26"/>
    </row>
    <row r="520" ht="15.75" customHeight="1">
      <c r="C520" s="24"/>
      <c r="D520" s="25"/>
      <c r="I520" s="26"/>
      <c r="J520" s="26"/>
    </row>
    <row r="521" ht="15.75" customHeight="1">
      <c r="C521" s="24"/>
      <c r="D521" s="25"/>
      <c r="I521" s="26"/>
      <c r="J521" s="26"/>
    </row>
    <row r="522" ht="15.75" customHeight="1">
      <c r="C522" s="24"/>
      <c r="D522" s="25"/>
      <c r="I522" s="26"/>
      <c r="J522" s="26"/>
    </row>
    <row r="523" ht="15.75" customHeight="1">
      <c r="C523" s="24"/>
      <c r="D523" s="25"/>
      <c r="I523" s="26"/>
      <c r="J523" s="26"/>
    </row>
    <row r="524" ht="15.75" customHeight="1">
      <c r="C524" s="24"/>
      <c r="D524" s="25"/>
      <c r="I524" s="26"/>
      <c r="J524" s="26"/>
    </row>
    <row r="525" ht="15.75" customHeight="1">
      <c r="C525" s="24"/>
      <c r="D525" s="25"/>
      <c r="I525" s="26"/>
      <c r="J525" s="26"/>
    </row>
    <row r="526" ht="15.75" customHeight="1">
      <c r="C526" s="24"/>
      <c r="D526" s="25"/>
      <c r="I526" s="26"/>
      <c r="J526" s="26"/>
    </row>
    <row r="527" ht="15.75" customHeight="1">
      <c r="C527" s="24"/>
      <c r="D527" s="25"/>
      <c r="I527" s="26"/>
      <c r="J527" s="26"/>
    </row>
    <row r="528" ht="15.75" customHeight="1">
      <c r="C528" s="24"/>
      <c r="D528" s="25"/>
      <c r="I528" s="26"/>
      <c r="J528" s="26"/>
    </row>
    <row r="529" ht="15.75" customHeight="1">
      <c r="C529" s="24"/>
      <c r="D529" s="25"/>
      <c r="I529" s="26"/>
      <c r="J529" s="26"/>
    </row>
    <row r="530" ht="15.75" customHeight="1">
      <c r="C530" s="24"/>
      <c r="D530" s="25"/>
      <c r="I530" s="26"/>
      <c r="J530" s="26"/>
    </row>
    <row r="531" ht="15.75" customHeight="1">
      <c r="C531" s="24"/>
      <c r="D531" s="25"/>
      <c r="I531" s="26"/>
      <c r="J531" s="26"/>
    </row>
    <row r="532" ht="15.75" customHeight="1">
      <c r="C532" s="24"/>
      <c r="D532" s="25"/>
      <c r="I532" s="26"/>
      <c r="J532" s="26"/>
    </row>
    <row r="533" ht="15.75" customHeight="1">
      <c r="C533" s="24"/>
      <c r="D533" s="25"/>
      <c r="I533" s="26"/>
      <c r="J533" s="26"/>
    </row>
    <row r="534" ht="15.75" customHeight="1">
      <c r="C534" s="24"/>
      <c r="D534" s="25"/>
      <c r="I534" s="26"/>
      <c r="J534" s="26"/>
    </row>
    <row r="535" ht="15.75" customHeight="1">
      <c r="C535" s="24"/>
      <c r="D535" s="25"/>
      <c r="I535" s="26"/>
      <c r="J535" s="26"/>
    </row>
    <row r="536" ht="15.75" customHeight="1">
      <c r="C536" s="24"/>
      <c r="D536" s="25"/>
      <c r="I536" s="26"/>
      <c r="J536" s="26"/>
    </row>
    <row r="537" ht="15.75" customHeight="1">
      <c r="C537" s="24"/>
      <c r="D537" s="25"/>
      <c r="I537" s="26"/>
      <c r="J537" s="26"/>
    </row>
    <row r="538" ht="15.75" customHeight="1">
      <c r="C538" s="24"/>
      <c r="D538" s="25"/>
      <c r="I538" s="26"/>
      <c r="J538" s="26"/>
    </row>
    <row r="539" ht="15.75" customHeight="1">
      <c r="C539" s="24"/>
      <c r="D539" s="25"/>
      <c r="I539" s="26"/>
      <c r="J539" s="26"/>
    </row>
    <row r="540" ht="15.75" customHeight="1">
      <c r="C540" s="24"/>
      <c r="D540" s="25"/>
      <c r="I540" s="26"/>
      <c r="J540" s="26"/>
    </row>
    <row r="541" ht="15.75" customHeight="1">
      <c r="C541" s="24"/>
      <c r="D541" s="25"/>
      <c r="I541" s="26"/>
      <c r="J541" s="26"/>
    </row>
    <row r="542" ht="15.75" customHeight="1">
      <c r="C542" s="24"/>
      <c r="D542" s="25"/>
      <c r="I542" s="26"/>
      <c r="J542" s="26"/>
    </row>
    <row r="543" ht="15.75" customHeight="1">
      <c r="C543" s="24"/>
      <c r="D543" s="25"/>
      <c r="I543" s="26"/>
      <c r="J543" s="26"/>
    </row>
    <row r="544" ht="15.75" customHeight="1">
      <c r="C544" s="24"/>
      <c r="D544" s="25"/>
      <c r="I544" s="26"/>
      <c r="J544" s="26"/>
    </row>
    <row r="545" ht="15.75" customHeight="1">
      <c r="C545" s="24"/>
      <c r="D545" s="25"/>
      <c r="I545" s="26"/>
      <c r="J545" s="26"/>
    </row>
    <row r="546" ht="15.75" customHeight="1">
      <c r="C546" s="24"/>
      <c r="D546" s="25"/>
      <c r="I546" s="26"/>
      <c r="J546" s="26"/>
    </row>
    <row r="547" ht="15.75" customHeight="1">
      <c r="C547" s="24"/>
      <c r="D547" s="25"/>
      <c r="I547" s="26"/>
      <c r="J547" s="26"/>
    </row>
    <row r="548" ht="15.75" customHeight="1">
      <c r="C548" s="24"/>
      <c r="D548" s="25"/>
      <c r="I548" s="26"/>
      <c r="J548" s="26"/>
    </row>
    <row r="549" ht="15.75" customHeight="1">
      <c r="C549" s="24"/>
      <c r="D549" s="25"/>
      <c r="I549" s="26"/>
      <c r="J549" s="26"/>
    </row>
    <row r="550" ht="15.75" customHeight="1">
      <c r="C550" s="24"/>
      <c r="D550" s="25"/>
      <c r="I550" s="26"/>
      <c r="J550" s="26"/>
    </row>
    <row r="551" ht="15.75" customHeight="1">
      <c r="C551" s="24"/>
      <c r="D551" s="25"/>
      <c r="I551" s="26"/>
      <c r="J551" s="26"/>
    </row>
    <row r="552" ht="15.75" customHeight="1">
      <c r="C552" s="24"/>
      <c r="D552" s="25"/>
      <c r="I552" s="26"/>
      <c r="J552" s="26"/>
    </row>
    <row r="553" ht="15.75" customHeight="1">
      <c r="C553" s="24"/>
      <c r="D553" s="25"/>
      <c r="I553" s="26"/>
      <c r="J553" s="26"/>
    </row>
    <row r="554" ht="15.75" customHeight="1">
      <c r="C554" s="24"/>
      <c r="D554" s="25"/>
      <c r="I554" s="26"/>
      <c r="J554" s="26"/>
    </row>
    <row r="555" ht="15.75" customHeight="1">
      <c r="C555" s="24"/>
      <c r="D555" s="25"/>
      <c r="I555" s="26"/>
      <c r="J555" s="26"/>
    </row>
    <row r="556" ht="15.75" customHeight="1">
      <c r="C556" s="24"/>
      <c r="D556" s="25"/>
      <c r="I556" s="26"/>
      <c r="J556" s="26"/>
    </row>
    <row r="557" ht="15.75" customHeight="1">
      <c r="C557" s="24"/>
      <c r="D557" s="25"/>
      <c r="I557" s="26"/>
      <c r="J557" s="26"/>
    </row>
    <row r="558" ht="15.75" customHeight="1">
      <c r="C558" s="24"/>
      <c r="D558" s="25"/>
      <c r="I558" s="26"/>
      <c r="J558" s="26"/>
    </row>
    <row r="559" ht="15.75" customHeight="1">
      <c r="C559" s="24"/>
      <c r="D559" s="25"/>
      <c r="I559" s="26"/>
      <c r="J559" s="26"/>
    </row>
    <row r="560" ht="15.75" customHeight="1">
      <c r="C560" s="24"/>
      <c r="D560" s="25"/>
      <c r="I560" s="26"/>
      <c r="J560" s="26"/>
    </row>
    <row r="561" ht="15.75" customHeight="1">
      <c r="C561" s="24"/>
      <c r="D561" s="25"/>
      <c r="I561" s="26"/>
      <c r="J561" s="26"/>
    </row>
    <row r="562" ht="15.75" customHeight="1">
      <c r="C562" s="24"/>
      <c r="D562" s="25"/>
      <c r="I562" s="26"/>
      <c r="J562" s="26"/>
    </row>
    <row r="563" ht="15.75" customHeight="1">
      <c r="C563" s="24"/>
      <c r="D563" s="25"/>
      <c r="I563" s="26"/>
      <c r="J563" s="26"/>
    </row>
    <row r="564" ht="15.75" customHeight="1">
      <c r="C564" s="24"/>
      <c r="D564" s="25"/>
      <c r="I564" s="26"/>
      <c r="J564" s="26"/>
    </row>
    <row r="565" ht="15.75" customHeight="1">
      <c r="C565" s="24"/>
      <c r="D565" s="25"/>
      <c r="I565" s="26"/>
      <c r="J565" s="26"/>
    </row>
    <row r="566" ht="15.75" customHeight="1">
      <c r="C566" s="24"/>
      <c r="D566" s="25"/>
      <c r="I566" s="26"/>
      <c r="J566" s="26"/>
    </row>
    <row r="567" ht="15.75" customHeight="1">
      <c r="C567" s="24"/>
      <c r="D567" s="25"/>
      <c r="I567" s="26"/>
      <c r="J567" s="26"/>
    </row>
    <row r="568" ht="15.75" customHeight="1">
      <c r="C568" s="24"/>
      <c r="D568" s="25"/>
      <c r="I568" s="26"/>
      <c r="J568" s="26"/>
    </row>
    <row r="569" ht="15.75" customHeight="1">
      <c r="C569" s="24"/>
      <c r="D569" s="25"/>
      <c r="I569" s="26"/>
      <c r="J569" s="26"/>
    </row>
    <row r="570" ht="15.75" customHeight="1">
      <c r="C570" s="24"/>
      <c r="D570" s="25"/>
      <c r="I570" s="26"/>
      <c r="J570" s="26"/>
    </row>
    <row r="571" ht="15.75" customHeight="1">
      <c r="C571" s="24"/>
      <c r="D571" s="25"/>
      <c r="I571" s="26"/>
      <c r="J571" s="26"/>
    </row>
    <row r="572" ht="15.75" customHeight="1">
      <c r="C572" s="24"/>
      <c r="D572" s="25"/>
      <c r="I572" s="26"/>
      <c r="J572" s="26"/>
    </row>
    <row r="573" ht="15.75" customHeight="1">
      <c r="C573" s="24"/>
      <c r="D573" s="25"/>
      <c r="I573" s="26"/>
      <c r="J573" s="26"/>
    </row>
    <row r="574" ht="15.75" customHeight="1">
      <c r="C574" s="24"/>
      <c r="D574" s="25"/>
      <c r="I574" s="26"/>
      <c r="J574" s="26"/>
    </row>
    <row r="575" ht="15.75" customHeight="1">
      <c r="C575" s="24"/>
      <c r="D575" s="25"/>
      <c r="I575" s="26"/>
      <c r="J575" s="26"/>
    </row>
    <row r="576" ht="15.75" customHeight="1">
      <c r="C576" s="24"/>
      <c r="D576" s="25"/>
      <c r="I576" s="26"/>
      <c r="J576" s="26"/>
    </row>
    <row r="577" ht="15.75" customHeight="1">
      <c r="C577" s="24"/>
      <c r="D577" s="25"/>
      <c r="I577" s="26"/>
      <c r="J577" s="26"/>
    </row>
    <row r="578" ht="15.75" customHeight="1">
      <c r="C578" s="24"/>
      <c r="D578" s="25"/>
      <c r="I578" s="26"/>
      <c r="J578" s="26"/>
    </row>
    <row r="579" ht="15.75" customHeight="1">
      <c r="C579" s="24"/>
      <c r="D579" s="25"/>
      <c r="I579" s="26"/>
      <c r="J579" s="26"/>
    </row>
    <row r="580" ht="15.75" customHeight="1">
      <c r="C580" s="24"/>
      <c r="D580" s="25"/>
      <c r="I580" s="26"/>
      <c r="J580" s="26"/>
    </row>
    <row r="581" ht="15.75" customHeight="1">
      <c r="C581" s="24"/>
      <c r="D581" s="25"/>
      <c r="I581" s="26"/>
      <c r="J581" s="26"/>
    </row>
    <row r="582" ht="15.75" customHeight="1">
      <c r="C582" s="24"/>
      <c r="D582" s="25"/>
      <c r="I582" s="26"/>
      <c r="J582" s="26"/>
    </row>
    <row r="583" ht="15.75" customHeight="1">
      <c r="C583" s="24"/>
      <c r="D583" s="25"/>
      <c r="I583" s="26"/>
      <c r="J583" s="26"/>
    </row>
    <row r="584" ht="15.75" customHeight="1">
      <c r="C584" s="24"/>
      <c r="D584" s="25"/>
      <c r="I584" s="26"/>
      <c r="J584" s="26"/>
    </row>
    <row r="585" ht="15.75" customHeight="1">
      <c r="C585" s="24"/>
      <c r="D585" s="25"/>
      <c r="I585" s="26"/>
      <c r="J585" s="26"/>
    </row>
    <row r="586" ht="15.75" customHeight="1">
      <c r="C586" s="24"/>
      <c r="D586" s="25"/>
      <c r="I586" s="26"/>
      <c r="J586" s="26"/>
    </row>
    <row r="587" ht="15.75" customHeight="1">
      <c r="C587" s="24"/>
      <c r="D587" s="25"/>
      <c r="I587" s="26"/>
      <c r="J587" s="26"/>
    </row>
    <row r="588" ht="15.75" customHeight="1">
      <c r="C588" s="24"/>
      <c r="D588" s="25"/>
      <c r="I588" s="26"/>
      <c r="J588" s="26"/>
    </row>
    <row r="589" ht="15.75" customHeight="1">
      <c r="C589" s="24"/>
      <c r="D589" s="25"/>
      <c r="I589" s="26"/>
      <c r="J589" s="26"/>
    </row>
    <row r="590" ht="15.75" customHeight="1">
      <c r="C590" s="24"/>
      <c r="D590" s="25"/>
      <c r="I590" s="26"/>
      <c r="J590" s="26"/>
    </row>
    <row r="591" ht="15.75" customHeight="1">
      <c r="C591" s="24"/>
      <c r="D591" s="25"/>
      <c r="I591" s="26"/>
      <c r="J591" s="26"/>
    </row>
    <row r="592" ht="15.75" customHeight="1">
      <c r="C592" s="24"/>
      <c r="D592" s="25"/>
      <c r="I592" s="26"/>
      <c r="J592" s="26"/>
    </row>
    <row r="593" ht="15.75" customHeight="1">
      <c r="C593" s="24"/>
      <c r="D593" s="25"/>
      <c r="I593" s="26"/>
      <c r="J593" s="26"/>
    </row>
    <row r="594" ht="15.75" customHeight="1">
      <c r="C594" s="24"/>
      <c r="D594" s="25"/>
      <c r="I594" s="26"/>
      <c r="J594" s="26"/>
    </row>
    <row r="595" ht="15.75" customHeight="1">
      <c r="C595" s="24"/>
      <c r="D595" s="25"/>
      <c r="I595" s="26"/>
      <c r="J595" s="26"/>
    </row>
    <row r="596" ht="15.75" customHeight="1">
      <c r="C596" s="24"/>
      <c r="D596" s="25"/>
      <c r="I596" s="26"/>
      <c r="J596" s="26"/>
    </row>
    <row r="597" ht="15.75" customHeight="1">
      <c r="C597" s="24"/>
      <c r="D597" s="25"/>
      <c r="I597" s="26"/>
      <c r="J597" s="26"/>
    </row>
    <row r="598" ht="15.75" customHeight="1">
      <c r="C598" s="24"/>
      <c r="D598" s="25"/>
      <c r="I598" s="26"/>
      <c r="J598" s="26"/>
    </row>
    <row r="599" ht="15.75" customHeight="1">
      <c r="C599" s="24"/>
      <c r="D599" s="25"/>
      <c r="I599" s="26"/>
      <c r="J599" s="26"/>
    </row>
    <row r="600" ht="15.75" customHeight="1">
      <c r="C600" s="24"/>
      <c r="D600" s="25"/>
      <c r="I600" s="26"/>
      <c r="J600" s="26"/>
    </row>
    <row r="601" ht="15.75" customHeight="1">
      <c r="C601" s="24"/>
      <c r="D601" s="25"/>
      <c r="I601" s="26"/>
      <c r="J601" s="26"/>
    </row>
    <row r="602" ht="15.75" customHeight="1">
      <c r="C602" s="24"/>
      <c r="D602" s="25"/>
      <c r="I602" s="26"/>
      <c r="J602" s="26"/>
    </row>
    <row r="603" ht="15.75" customHeight="1">
      <c r="C603" s="24"/>
      <c r="D603" s="25"/>
      <c r="I603" s="26"/>
      <c r="J603" s="26"/>
    </row>
    <row r="604" ht="15.75" customHeight="1">
      <c r="C604" s="24"/>
      <c r="D604" s="25"/>
      <c r="I604" s="26"/>
      <c r="J604" s="26"/>
    </row>
    <row r="605" ht="15.75" customHeight="1">
      <c r="C605" s="24"/>
      <c r="D605" s="25"/>
      <c r="I605" s="26"/>
      <c r="J605" s="26"/>
    </row>
    <row r="606" ht="15.75" customHeight="1">
      <c r="C606" s="24"/>
      <c r="D606" s="25"/>
      <c r="I606" s="26"/>
      <c r="J606" s="26"/>
    </row>
    <row r="607" ht="15.75" customHeight="1">
      <c r="C607" s="24"/>
      <c r="D607" s="25"/>
      <c r="I607" s="26"/>
      <c r="J607" s="26"/>
    </row>
    <row r="608" ht="15.75" customHeight="1">
      <c r="C608" s="24"/>
      <c r="D608" s="25"/>
      <c r="I608" s="26"/>
      <c r="J608" s="26"/>
    </row>
    <row r="609" ht="15.75" customHeight="1">
      <c r="C609" s="24"/>
      <c r="D609" s="25"/>
      <c r="I609" s="26"/>
      <c r="J609" s="26"/>
    </row>
    <row r="610" ht="15.75" customHeight="1">
      <c r="C610" s="24"/>
      <c r="D610" s="25"/>
      <c r="I610" s="26"/>
      <c r="J610" s="26"/>
    </row>
    <row r="611" ht="15.75" customHeight="1">
      <c r="C611" s="24"/>
      <c r="D611" s="25"/>
      <c r="I611" s="26"/>
      <c r="J611" s="26"/>
    </row>
    <row r="612" ht="15.75" customHeight="1">
      <c r="C612" s="24"/>
      <c r="D612" s="25"/>
      <c r="I612" s="26"/>
      <c r="J612" s="26"/>
    </row>
    <row r="613" ht="15.75" customHeight="1">
      <c r="C613" s="24"/>
      <c r="D613" s="25"/>
      <c r="I613" s="26"/>
      <c r="J613" s="26"/>
    </row>
    <row r="614" ht="15.75" customHeight="1">
      <c r="C614" s="24"/>
      <c r="D614" s="25"/>
      <c r="I614" s="26"/>
      <c r="J614" s="26"/>
    </row>
    <row r="615" ht="15.75" customHeight="1">
      <c r="C615" s="24"/>
      <c r="D615" s="25"/>
      <c r="I615" s="26"/>
      <c r="J615" s="26"/>
    </row>
    <row r="616" ht="15.75" customHeight="1">
      <c r="C616" s="24"/>
      <c r="D616" s="25"/>
      <c r="I616" s="26"/>
      <c r="J616" s="26"/>
    </row>
    <row r="617" ht="15.75" customHeight="1">
      <c r="C617" s="24"/>
      <c r="D617" s="25"/>
      <c r="I617" s="26"/>
      <c r="J617" s="26"/>
    </row>
    <row r="618" ht="15.75" customHeight="1">
      <c r="C618" s="24"/>
      <c r="D618" s="25"/>
      <c r="I618" s="26"/>
      <c r="J618" s="26"/>
    </row>
    <row r="619" ht="15.75" customHeight="1">
      <c r="C619" s="24"/>
      <c r="D619" s="25"/>
      <c r="I619" s="26"/>
      <c r="J619" s="26"/>
    </row>
    <row r="620" ht="15.75" customHeight="1">
      <c r="C620" s="24"/>
      <c r="D620" s="25"/>
      <c r="I620" s="26"/>
      <c r="J620" s="26"/>
    </row>
    <row r="621" ht="15.75" customHeight="1">
      <c r="C621" s="24"/>
      <c r="D621" s="25"/>
      <c r="I621" s="26"/>
      <c r="J621" s="26"/>
    </row>
    <row r="622" ht="15.75" customHeight="1">
      <c r="C622" s="24"/>
      <c r="D622" s="25"/>
      <c r="I622" s="26"/>
      <c r="J622" s="26"/>
    </row>
    <row r="623" ht="15.75" customHeight="1">
      <c r="C623" s="24"/>
      <c r="D623" s="25"/>
      <c r="I623" s="26"/>
      <c r="J623" s="26"/>
    </row>
    <row r="624" ht="15.75" customHeight="1">
      <c r="C624" s="24"/>
      <c r="D624" s="25"/>
      <c r="I624" s="26"/>
      <c r="J624" s="26"/>
    </row>
    <row r="625" ht="15.75" customHeight="1">
      <c r="C625" s="24"/>
      <c r="D625" s="25"/>
      <c r="I625" s="26"/>
      <c r="J625" s="26"/>
    </row>
    <row r="626" ht="15.75" customHeight="1">
      <c r="C626" s="24"/>
      <c r="D626" s="25"/>
      <c r="I626" s="26"/>
      <c r="J626" s="26"/>
    </row>
    <row r="627" ht="15.75" customHeight="1">
      <c r="C627" s="24"/>
      <c r="D627" s="25"/>
      <c r="I627" s="26"/>
      <c r="J627" s="26"/>
    </row>
    <row r="628" ht="15.75" customHeight="1">
      <c r="C628" s="24"/>
      <c r="D628" s="25"/>
      <c r="I628" s="26"/>
      <c r="J628" s="26"/>
    </row>
    <row r="629" ht="15.75" customHeight="1">
      <c r="C629" s="24"/>
      <c r="D629" s="25"/>
      <c r="I629" s="26"/>
      <c r="J629" s="26"/>
    </row>
    <row r="630" ht="15.75" customHeight="1">
      <c r="C630" s="24"/>
      <c r="D630" s="25"/>
      <c r="I630" s="26"/>
      <c r="J630" s="26"/>
    </row>
    <row r="631" ht="15.75" customHeight="1">
      <c r="C631" s="24"/>
      <c r="D631" s="25"/>
      <c r="I631" s="26"/>
      <c r="J631" s="26"/>
    </row>
    <row r="632" ht="15.75" customHeight="1">
      <c r="C632" s="24"/>
      <c r="D632" s="25"/>
      <c r="I632" s="26"/>
      <c r="J632" s="26"/>
    </row>
    <row r="633" ht="15.75" customHeight="1">
      <c r="C633" s="24"/>
      <c r="D633" s="25"/>
      <c r="I633" s="26"/>
      <c r="J633" s="26"/>
    </row>
    <row r="634" ht="15.75" customHeight="1">
      <c r="C634" s="24"/>
      <c r="D634" s="25"/>
      <c r="I634" s="26"/>
      <c r="J634" s="26"/>
    </row>
    <row r="635" ht="15.75" customHeight="1">
      <c r="C635" s="24"/>
      <c r="D635" s="25"/>
      <c r="I635" s="26"/>
      <c r="J635" s="26"/>
    </row>
    <row r="636" ht="15.75" customHeight="1">
      <c r="C636" s="24"/>
      <c r="D636" s="25"/>
      <c r="I636" s="26"/>
      <c r="J636" s="26"/>
    </row>
    <row r="637" ht="15.75" customHeight="1">
      <c r="C637" s="24"/>
      <c r="D637" s="25"/>
      <c r="I637" s="26"/>
      <c r="J637" s="26"/>
    </row>
    <row r="638" ht="15.75" customHeight="1">
      <c r="C638" s="24"/>
      <c r="D638" s="25"/>
      <c r="I638" s="26"/>
      <c r="J638" s="26"/>
    </row>
    <row r="639" ht="15.75" customHeight="1">
      <c r="C639" s="24"/>
      <c r="D639" s="25"/>
      <c r="I639" s="26"/>
      <c r="J639" s="26"/>
    </row>
    <row r="640" ht="15.75" customHeight="1">
      <c r="C640" s="24"/>
      <c r="D640" s="25"/>
      <c r="I640" s="26"/>
      <c r="J640" s="26"/>
    </row>
    <row r="641" ht="15.75" customHeight="1">
      <c r="C641" s="24"/>
      <c r="D641" s="25"/>
      <c r="I641" s="26"/>
      <c r="J641" s="26"/>
    </row>
    <row r="642" ht="15.75" customHeight="1">
      <c r="C642" s="24"/>
      <c r="D642" s="25"/>
      <c r="I642" s="26"/>
      <c r="J642" s="26"/>
    </row>
    <row r="643" ht="15.75" customHeight="1">
      <c r="C643" s="24"/>
      <c r="D643" s="25"/>
      <c r="I643" s="26"/>
      <c r="J643" s="26"/>
    </row>
    <row r="644" ht="15.75" customHeight="1">
      <c r="C644" s="24"/>
      <c r="D644" s="25"/>
      <c r="I644" s="26"/>
      <c r="J644" s="26"/>
    </row>
    <row r="645" ht="15.75" customHeight="1">
      <c r="C645" s="24"/>
      <c r="D645" s="25"/>
      <c r="I645" s="26"/>
      <c r="J645" s="26"/>
    </row>
    <row r="646" ht="15.75" customHeight="1">
      <c r="C646" s="24"/>
      <c r="D646" s="25"/>
      <c r="I646" s="26"/>
      <c r="J646" s="26"/>
    </row>
    <row r="647" ht="15.75" customHeight="1">
      <c r="C647" s="24"/>
      <c r="D647" s="25"/>
      <c r="I647" s="26"/>
      <c r="J647" s="26"/>
    </row>
    <row r="648" ht="15.75" customHeight="1">
      <c r="C648" s="24"/>
      <c r="D648" s="25"/>
      <c r="I648" s="26"/>
      <c r="J648" s="26"/>
    </row>
    <row r="649" ht="15.75" customHeight="1">
      <c r="C649" s="24"/>
      <c r="D649" s="25"/>
      <c r="I649" s="26"/>
      <c r="J649" s="26"/>
    </row>
    <row r="650" ht="15.75" customHeight="1">
      <c r="C650" s="24"/>
      <c r="D650" s="25"/>
      <c r="I650" s="26"/>
      <c r="J650" s="26"/>
    </row>
    <row r="651" ht="15.75" customHeight="1">
      <c r="C651" s="24"/>
      <c r="D651" s="25"/>
      <c r="I651" s="26"/>
      <c r="J651" s="26"/>
    </row>
    <row r="652" ht="15.75" customHeight="1">
      <c r="C652" s="24"/>
      <c r="D652" s="25"/>
      <c r="I652" s="26"/>
      <c r="J652" s="26"/>
    </row>
    <row r="653" ht="15.75" customHeight="1">
      <c r="C653" s="24"/>
      <c r="D653" s="25"/>
      <c r="I653" s="26"/>
      <c r="J653" s="26"/>
    </row>
    <row r="654" ht="15.75" customHeight="1">
      <c r="C654" s="24"/>
      <c r="D654" s="25"/>
      <c r="I654" s="26"/>
      <c r="J654" s="26"/>
    </row>
    <row r="655" ht="15.75" customHeight="1">
      <c r="C655" s="24"/>
      <c r="D655" s="25"/>
      <c r="I655" s="26"/>
      <c r="J655" s="26"/>
    </row>
    <row r="656" ht="15.75" customHeight="1">
      <c r="C656" s="24"/>
      <c r="D656" s="25"/>
      <c r="I656" s="26"/>
      <c r="J656" s="26"/>
    </row>
    <row r="657" ht="15.75" customHeight="1">
      <c r="C657" s="24"/>
      <c r="D657" s="25"/>
      <c r="I657" s="26"/>
      <c r="J657" s="26"/>
    </row>
    <row r="658" ht="15.75" customHeight="1">
      <c r="C658" s="24"/>
      <c r="D658" s="25"/>
      <c r="I658" s="26"/>
      <c r="J658" s="26"/>
    </row>
    <row r="659" ht="15.75" customHeight="1">
      <c r="C659" s="24"/>
      <c r="D659" s="25"/>
      <c r="I659" s="26"/>
      <c r="J659" s="26"/>
    </row>
    <row r="660" ht="15.75" customHeight="1">
      <c r="C660" s="24"/>
      <c r="D660" s="25"/>
      <c r="I660" s="26"/>
      <c r="J660" s="26"/>
    </row>
    <row r="661" ht="15.75" customHeight="1">
      <c r="C661" s="24"/>
      <c r="D661" s="25"/>
      <c r="I661" s="26"/>
      <c r="J661" s="26"/>
    </row>
    <row r="662" ht="15.75" customHeight="1">
      <c r="C662" s="24"/>
      <c r="D662" s="25"/>
      <c r="I662" s="26"/>
      <c r="J662" s="26"/>
    </row>
    <row r="663" ht="15.75" customHeight="1">
      <c r="C663" s="24"/>
      <c r="D663" s="25"/>
      <c r="I663" s="26"/>
      <c r="J663" s="26"/>
    </row>
    <row r="664" ht="15.75" customHeight="1">
      <c r="C664" s="24"/>
      <c r="D664" s="25"/>
      <c r="I664" s="26"/>
      <c r="J664" s="26"/>
    </row>
    <row r="665" ht="15.75" customHeight="1">
      <c r="C665" s="24"/>
      <c r="D665" s="25"/>
      <c r="I665" s="26"/>
      <c r="J665" s="26"/>
    </row>
    <row r="666" ht="15.75" customHeight="1">
      <c r="C666" s="24"/>
      <c r="D666" s="25"/>
      <c r="I666" s="26"/>
      <c r="J666" s="26"/>
    </row>
    <row r="667" ht="15.75" customHeight="1">
      <c r="C667" s="24"/>
      <c r="D667" s="25"/>
      <c r="I667" s="26"/>
      <c r="J667" s="26"/>
    </row>
    <row r="668" ht="15.75" customHeight="1">
      <c r="C668" s="24"/>
      <c r="D668" s="25"/>
      <c r="I668" s="26"/>
      <c r="J668" s="26"/>
    </row>
    <row r="669" ht="15.75" customHeight="1">
      <c r="C669" s="24"/>
      <c r="D669" s="25"/>
      <c r="I669" s="26"/>
      <c r="J669" s="26"/>
    </row>
    <row r="670" ht="15.75" customHeight="1">
      <c r="C670" s="24"/>
      <c r="D670" s="25"/>
      <c r="I670" s="26"/>
      <c r="J670" s="26"/>
    </row>
    <row r="671" ht="15.75" customHeight="1">
      <c r="C671" s="24"/>
      <c r="D671" s="25"/>
      <c r="I671" s="26"/>
      <c r="J671" s="26"/>
    </row>
    <row r="672" ht="15.75" customHeight="1">
      <c r="C672" s="24"/>
      <c r="D672" s="25"/>
      <c r="I672" s="26"/>
      <c r="J672" s="26"/>
    </row>
    <row r="673" ht="15.75" customHeight="1">
      <c r="C673" s="24"/>
      <c r="D673" s="25"/>
      <c r="I673" s="26"/>
      <c r="J673" s="26"/>
    </row>
    <row r="674" ht="15.75" customHeight="1">
      <c r="C674" s="24"/>
      <c r="D674" s="25"/>
      <c r="I674" s="26"/>
      <c r="J674" s="26"/>
    </row>
    <row r="675" ht="15.75" customHeight="1">
      <c r="C675" s="24"/>
      <c r="D675" s="25"/>
      <c r="I675" s="26"/>
      <c r="J675" s="26"/>
    </row>
    <row r="676" ht="15.75" customHeight="1">
      <c r="C676" s="24"/>
      <c r="D676" s="25"/>
      <c r="I676" s="26"/>
      <c r="J676" s="26"/>
    </row>
    <row r="677" ht="15.75" customHeight="1">
      <c r="C677" s="24"/>
      <c r="D677" s="25"/>
      <c r="I677" s="26"/>
      <c r="J677" s="26"/>
    </row>
    <row r="678" ht="15.75" customHeight="1">
      <c r="C678" s="24"/>
      <c r="D678" s="25"/>
      <c r="I678" s="26"/>
      <c r="J678" s="26"/>
    </row>
    <row r="679" ht="15.75" customHeight="1">
      <c r="C679" s="24"/>
      <c r="D679" s="25"/>
      <c r="I679" s="26"/>
      <c r="J679" s="26"/>
    </row>
    <row r="680" ht="15.75" customHeight="1">
      <c r="C680" s="24"/>
      <c r="D680" s="25"/>
      <c r="I680" s="26"/>
      <c r="J680" s="26"/>
    </row>
    <row r="681" ht="15.75" customHeight="1">
      <c r="C681" s="24"/>
      <c r="D681" s="25"/>
      <c r="I681" s="26"/>
      <c r="J681" s="26"/>
    </row>
    <row r="682" ht="15.75" customHeight="1">
      <c r="C682" s="24"/>
      <c r="D682" s="25"/>
      <c r="I682" s="26"/>
      <c r="J682" s="26"/>
    </row>
    <row r="683" ht="15.75" customHeight="1">
      <c r="C683" s="24"/>
      <c r="D683" s="25"/>
      <c r="I683" s="26"/>
      <c r="J683" s="26"/>
    </row>
    <row r="684" ht="15.75" customHeight="1">
      <c r="C684" s="24"/>
      <c r="D684" s="25"/>
      <c r="I684" s="26"/>
      <c r="J684" s="26"/>
    </row>
    <row r="685" ht="15.75" customHeight="1">
      <c r="C685" s="24"/>
      <c r="D685" s="25"/>
      <c r="I685" s="26"/>
      <c r="J685" s="26"/>
    </row>
    <row r="686" ht="15.75" customHeight="1">
      <c r="C686" s="24"/>
      <c r="D686" s="25"/>
      <c r="I686" s="26"/>
      <c r="J686" s="26"/>
    </row>
    <row r="687" ht="15.75" customHeight="1">
      <c r="C687" s="24"/>
      <c r="D687" s="25"/>
      <c r="I687" s="26"/>
      <c r="J687" s="26"/>
    </row>
    <row r="688" ht="15.75" customHeight="1">
      <c r="C688" s="24"/>
      <c r="D688" s="25"/>
      <c r="I688" s="26"/>
      <c r="J688" s="26"/>
    </row>
    <row r="689" ht="15.75" customHeight="1">
      <c r="C689" s="24"/>
      <c r="D689" s="25"/>
      <c r="I689" s="26"/>
      <c r="J689" s="26"/>
    </row>
    <row r="690" ht="15.75" customHeight="1">
      <c r="C690" s="24"/>
      <c r="D690" s="25"/>
      <c r="I690" s="26"/>
      <c r="J690" s="26"/>
    </row>
    <row r="691" ht="15.75" customHeight="1">
      <c r="C691" s="24"/>
      <c r="D691" s="25"/>
      <c r="I691" s="26"/>
      <c r="J691" s="26"/>
    </row>
    <row r="692" ht="15.75" customHeight="1">
      <c r="C692" s="24"/>
      <c r="D692" s="25"/>
      <c r="I692" s="26"/>
      <c r="J692" s="26"/>
    </row>
    <row r="693" ht="15.75" customHeight="1">
      <c r="C693" s="24"/>
      <c r="D693" s="25"/>
      <c r="I693" s="26"/>
      <c r="J693" s="26"/>
    </row>
    <row r="694" ht="15.75" customHeight="1">
      <c r="C694" s="24"/>
      <c r="D694" s="25"/>
      <c r="I694" s="26"/>
      <c r="J694" s="26"/>
    </row>
    <row r="695" ht="15.75" customHeight="1">
      <c r="C695" s="24"/>
      <c r="D695" s="25"/>
      <c r="I695" s="26"/>
      <c r="J695" s="26"/>
    </row>
    <row r="696" ht="15.75" customHeight="1">
      <c r="C696" s="24"/>
      <c r="D696" s="25"/>
      <c r="I696" s="26"/>
      <c r="J696" s="26"/>
    </row>
    <row r="697" ht="15.75" customHeight="1">
      <c r="C697" s="24"/>
      <c r="D697" s="25"/>
      <c r="I697" s="26"/>
      <c r="J697" s="26"/>
    </row>
    <row r="698" ht="15.75" customHeight="1">
      <c r="C698" s="24"/>
      <c r="D698" s="25"/>
      <c r="I698" s="26"/>
      <c r="J698" s="26"/>
    </row>
    <row r="699" ht="15.75" customHeight="1">
      <c r="C699" s="24"/>
      <c r="D699" s="25"/>
      <c r="I699" s="26"/>
      <c r="J699" s="26"/>
    </row>
    <row r="700" ht="15.75" customHeight="1">
      <c r="C700" s="24"/>
      <c r="D700" s="25"/>
      <c r="I700" s="26"/>
      <c r="J700" s="26"/>
    </row>
    <row r="701" ht="15.75" customHeight="1">
      <c r="C701" s="24"/>
      <c r="D701" s="25"/>
      <c r="I701" s="26"/>
      <c r="J701" s="26"/>
    </row>
    <row r="702" ht="15.75" customHeight="1">
      <c r="C702" s="24"/>
      <c r="D702" s="25"/>
      <c r="I702" s="26"/>
      <c r="J702" s="26"/>
    </row>
    <row r="703" ht="15.75" customHeight="1">
      <c r="C703" s="24"/>
      <c r="D703" s="25"/>
      <c r="I703" s="26"/>
      <c r="J703" s="26"/>
    </row>
    <row r="704" ht="15.75" customHeight="1">
      <c r="C704" s="24"/>
      <c r="D704" s="25"/>
      <c r="I704" s="26"/>
      <c r="J704" s="26"/>
    </row>
    <row r="705" ht="15.75" customHeight="1">
      <c r="C705" s="24"/>
      <c r="D705" s="25"/>
      <c r="I705" s="26"/>
      <c r="J705" s="26"/>
    </row>
    <row r="706" ht="15.75" customHeight="1">
      <c r="C706" s="24"/>
      <c r="D706" s="25"/>
      <c r="I706" s="26"/>
      <c r="J706" s="26"/>
    </row>
    <row r="707" ht="15.75" customHeight="1">
      <c r="C707" s="24"/>
      <c r="D707" s="25"/>
      <c r="I707" s="26"/>
      <c r="J707" s="26"/>
    </row>
    <row r="708" ht="15.75" customHeight="1">
      <c r="C708" s="24"/>
      <c r="D708" s="25"/>
      <c r="I708" s="26"/>
      <c r="J708" s="26"/>
    </row>
    <row r="709" ht="15.75" customHeight="1">
      <c r="C709" s="24"/>
      <c r="D709" s="25"/>
      <c r="I709" s="26"/>
      <c r="J709" s="26"/>
    </row>
    <row r="710" ht="15.75" customHeight="1">
      <c r="C710" s="24"/>
      <c r="D710" s="25"/>
      <c r="I710" s="26"/>
      <c r="J710" s="26"/>
    </row>
    <row r="711" ht="15.75" customHeight="1">
      <c r="C711" s="24"/>
      <c r="D711" s="25"/>
      <c r="I711" s="26"/>
      <c r="J711" s="26"/>
    </row>
    <row r="712" ht="15.75" customHeight="1">
      <c r="C712" s="24"/>
      <c r="D712" s="25"/>
      <c r="I712" s="26"/>
      <c r="J712" s="26"/>
    </row>
    <row r="713" ht="15.75" customHeight="1">
      <c r="C713" s="24"/>
      <c r="D713" s="25"/>
      <c r="I713" s="26"/>
      <c r="J713" s="26"/>
    </row>
    <row r="714" ht="15.75" customHeight="1">
      <c r="C714" s="24"/>
      <c r="D714" s="25"/>
      <c r="I714" s="26"/>
      <c r="J714" s="26"/>
    </row>
    <row r="715" ht="15.75" customHeight="1">
      <c r="C715" s="24"/>
      <c r="D715" s="25"/>
      <c r="I715" s="26"/>
      <c r="J715" s="26"/>
    </row>
    <row r="716" ht="15.75" customHeight="1">
      <c r="C716" s="24"/>
      <c r="D716" s="25"/>
      <c r="I716" s="26"/>
      <c r="J716" s="26"/>
    </row>
    <row r="717" ht="15.75" customHeight="1">
      <c r="C717" s="24"/>
      <c r="D717" s="25"/>
      <c r="I717" s="26"/>
      <c r="J717" s="26"/>
    </row>
    <row r="718" ht="15.75" customHeight="1">
      <c r="C718" s="24"/>
      <c r="D718" s="25"/>
      <c r="I718" s="26"/>
      <c r="J718" s="26"/>
    </row>
    <row r="719" ht="15.75" customHeight="1">
      <c r="C719" s="24"/>
      <c r="D719" s="25"/>
      <c r="I719" s="26"/>
      <c r="J719" s="26"/>
    </row>
    <row r="720" ht="15.75" customHeight="1">
      <c r="C720" s="24"/>
      <c r="D720" s="25"/>
      <c r="I720" s="26"/>
      <c r="J720" s="26"/>
    </row>
    <row r="721" ht="15.75" customHeight="1">
      <c r="C721" s="24"/>
      <c r="D721" s="25"/>
      <c r="I721" s="26"/>
      <c r="J721" s="26"/>
    </row>
    <row r="722" ht="15.75" customHeight="1">
      <c r="C722" s="24"/>
      <c r="D722" s="25"/>
      <c r="I722" s="26"/>
      <c r="J722" s="26"/>
    </row>
    <row r="723" ht="15.75" customHeight="1">
      <c r="C723" s="24"/>
      <c r="D723" s="25"/>
      <c r="I723" s="26"/>
      <c r="J723" s="26"/>
    </row>
    <row r="724" ht="15.75" customHeight="1">
      <c r="C724" s="24"/>
      <c r="D724" s="25"/>
      <c r="I724" s="26"/>
      <c r="J724" s="26"/>
    </row>
    <row r="725" ht="15.75" customHeight="1">
      <c r="C725" s="24"/>
      <c r="D725" s="25"/>
      <c r="I725" s="26"/>
      <c r="J725" s="26"/>
    </row>
    <row r="726" ht="15.75" customHeight="1">
      <c r="C726" s="24"/>
      <c r="D726" s="25"/>
      <c r="I726" s="26"/>
      <c r="J726" s="26"/>
    </row>
    <row r="727" ht="15.75" customHeight="1">
      <c r="C727" s="24"/>
      <c r="D727" s="25"/>
      <c r="I727" s="26"/>
      <c r="J727" s="26"/>
    </row>
    <row r="728" ht="15.75" customHeight="1">
      <c r="C728" s="24"/>
      <c r="D728" s="25"/>
      <c r="I728" s="26"/>
      <c r="J728" s="26"/>
    </row>
    <row r="729" ht="15.75" customHeight="1">
      <c r="C729" s="24"/>
      <c r="D729" s="25"/>
      <c r="I729" s="26"/>
      <c r="J729" s="26"/>
    </row>
    <row r="730" ht="15.75" customHeight="1">
      <c r="C730" s="24"/>
      <c r="D730" s="25"/>
      <c r="I730" s="26"/>
      <c r="J730" s="26"/>
    </row>
    <row r="731" ht="15.75" customHeight="1">
      <c r="C731" s="24"/>
      <c r="D731" s="25"/>
      <c r="I731" s="26"/>
      <c r="J731" s="26"/>
    </row>
    <row r="732" ht="15.75" customHeight="1">
      <c r="C732" s="24"/>
      <c r="D732" s="25"/>
      <c r="I732" s="26"/>
      <c r="J732" s="26"/>
    </row>
    <row r="733" ht="15.75" customHeight="1">
      <c r="C733" s="24"/>
      <c r="D733" s="25"/>
      <c r="I733" s="26"/>
      <c r="J733" s="26"/>
    </row>
    <row r="734" ht="15.75" customHeight="1">
      <c r="C734" s="24"/>
      <c r="D734" s="25"/>
      <c r="I734" s="26"/>
      <c r="J734" s="26"/>
    </row>
    <row r="735" ht="15.75" customHeight="1">
      <c r="C735" s="24"/>
      <c r="D735" s="25"/>
      <c r="I735" s="26"/>
      <c r="J735" s="26"/>
    </row>
    <row r="736" ht="15.75" customHeight="1">
      <c r="C736" s="24"/>
      <c r="D736" s="25"/>
      <c r="I736" s="26"/>
      <c r="J736" s="26"/>
    </row>
    <row r="737" ht="15.75" customHeight="1">
      <c r="C737" s="24"/>
      <c r="D737" s="25"/>
      <c r="I737" s="26"/>
      <c r="J737" s="26"/>
    </row>
    <row r="738" ht="15.75" customHeight="1">
      <c r="C738" s="24"/>
      <c r="D738" s="25"/>
      <c r="I738" s="26"/>
      <c r="J738" s="26"/>
    </row>
    <row r="739" ht="15.75" customHeight="1">
      <c r="C739" s="24"/>
      <c r="D739" s="25"/>
      <c r="I739" s="26"/>
      <c r="J739" s="26"/>
    </row>
    <row r="740" ht="15.75" customHeight="1">
      <c r="C740" s="24"/>
      <c r="D740" s="25"/>
      <c r="I740" s="26"/>
      <c r="J740" s="26"/>
    </row>
    <row r="741" ht="15.75" customHeight="1">
      <c r="C741" s="24"/>
      <c r="D741" s="25"/>
      <c r="I741" s="26"/>
      <c r="J741" s="26"/>
    </row>
    <row r="742" ht="15.75" customHeight="1">
      <c r="C742" s="24"/>
      <c r="D742" s="25"/>
      <c r="I742" s="26"/>
      <c r="J742" s="26"/>
    </row>
    <row r="743" ht="15.75" customHeight="1">
      <c r="C743" s="24"/>
      <c r="D743" s="25"/>
      <c r="I743" s="26"/>
      <c r="J743" s="26"/>
    </row>
    <row r="744" ht="15.75" customHeight="1">
      <c r="C744" s="24"/>
      <c r="D744" s="25"/>
      <c r="I744" s="26"/>
      <c r="J744" s="26"/>
    </row>
    <row r="745" ht="15.75" customHeight="1">
      <c r="C745" s="24"/>
      <c r="D745" s="25"/>
      <c r="I745" s="26"/>
      <c r="J745" s="26"/>
    </row>
    <row r="746" ht="15.75" customHeight="1">
      <c r="C746" s="24"/>
      <c r="D746" s="25"/>
      <c r="I746" s="26"/>
      <c r="J746" s="26"/>
    </row>
    <row r="747" ht="15.75" customHeight="1">
      <c r="C747" s="24"/>
      <c r="D747" s="25"/>
      <c r="I747" s="26"/>
      <c r="J747" s="26"/>
    </row>
    <row r="748" ht="15.75" customHeight="1">
      <c r="C748" s="24"/>
      <c r="D748" s="25"/>
      <c r="I748" s="26"/>
      <c r="J748" s="26"/>
    </row>
    <row r="749" ht="15.75" customHeight="1">
      <c r="C749" s="24"/>
      <c r="D749" s="25"/>
      <c r="I749" s="26"/>
      <c r="J749" s="26"/>
    </row>
    <row r="750" ht="15.75" customHeight="1">
      <c r="C750" s="24"/>
      <c r="D750" s="25"/>
      <c r="I750" s="26"/>
      <c r="J750" s="26"/>
    </row>
    <row r="751" ht="15.75" customHeight="1">
      <c r="C751" s="24"/>
      <c r="D751" s="25"/>
      <c r="I751" s="26"/>
      <c r="J751" s="26"/>
    </row>
    <row r="752" ht="15.75" customHeight="1">
      <c r="C752" s="24"/>
      <c r="D752" s="25"/>
      <c r="I752" s="26"/>
      <c r="J752" s="26"/>
    </row>
    <row r="753" ht="15.75" customHeight="1">
      <c r="C753" s="24"/>
      <c r="D753" s="25"/>
      <c r="I753" s="26"/>
      <c r="J753" s="26"/>
    </row>
    <row r="754" ht="15.75" customHeight="1">
      <c r="C754" s="24"/>
      <c r="D754" s="25"/>
      <c r="I754" s="26"/>
      <c r="J754" s="26"/>
    </row>
    <row r="755" ht="15.75" customHeight="1">
      <c r="C755" s="24"/>
      <c r="D755" s="25"/>
      <c r="I755" s="26"/>
      <c r="J755" s="26"/>
    </row>
    <row r="756" ht="15.75" customHeight="1">
      <c r="C756" s="24"/>
      <c r="D756" s="25"/>
      <c r="I756" s="26"/>
      <c r="J756" s="26"/>
    </row>
    <row r="757" ht="15.75" customHeight="1">
      <c r="C757" s="24"/>
      <c r="D757" s="25"/>
      <c r="I757" s="26"/>
      <c r="J757" s="26"/>
    </row>
    <row r="758" ht="15.75" customHeight="1">
      <c r="C758" s="24"/>
      <c r="D758" s="25"/>
      <c r="I758" s="26"/>
      <c r="J758" s="26"/>
    </row>
    <row r="759" ht="15.75" customHeight="1">
      <c r="C759" s="24"/>
      <c r="D759" s="25"/>
      <c r="I759" s="26"/>
      <c r="J759" s="26"/>
    </row>
    <row r="760" ht="15.75" customHeight="1">
      <c r="C760" s="24"/>
      <c r="D760" s="25"/>
      <c r="I760" s="26"/>
      <c r="J760" s="26"/>
    </row>
    <row r="761" ht="15.75" customHeight="1">
      <c r="C761" s="24"/>
      <c r="D761" s="25"/>
      <c r="I761" s="26"/>
      <c r="J761" s="26"/>
    </row>
    <row r="762" ht="15.75" customHeight="1">
      <c r="C762" s="24"/>
      <c r="D762" s="25"/>
      <c r="I762" s="26"/>
      <c r="J762" s="26"/>
    </row>
    <row r="763" ht="15.75" customHeight="1">
      <c r="C763" s="24"/>
      <c r="D763" s="25"/>
      <c r="I763" s="26"/>
      <c r="J763" s="26"/>
    </row>
    <row r="764" ht="15.75" customHeight="1">
      <c r="C764" s="24"/>
      <c r="D764" s="25"/>
      <c r="I764" s="26"/>
      <c r="J764" s="26"/>
    </row>
    <row r="765" ht="15.75" customHeight="1">
      <c r="C765" s="24"/>
      <c r="D765" s="25"/>
      <c r="I765" s="26"/>
      <c r="J765" s="26"/>
    </row>
    <row r="766" ht="15.75" customHeight="1">
      <c r="C766" s="24"/>
      <c r="D766" s="25"/>
      <c r="I766" s="26"/>
      <c r="J766" s="26"/>
    </row>
    <row r="767" ht="15.75" customHeight="1">
      <c r="C767" s="24"/>
      <c r="D767" s="25"/>
      <c r="I767" s="26"/>
      <c r="J767" s="26"/>
    </row>
    <row r="768" ht="15.75" customHeight="1">
      <c r="C768" s="24"/>
      <c r="D768" s="25"/>
      <c r="I768" s="26"/>
      <c r="J768" s="26"/>
    </row>
    <row r="769" ht="15.75" customHeight="1">
      <c r="C769" s="24"/>
      <c r="D769" s="25"/>
      <c r="I769" s="26"/>
      <c r="J769" s="26"/>
    </row>
    <row r="770" ht="15.75" customHeight="1">
      <c r="C770" s="24"/>
      <c r="D770" s="25"/>
      <c r="I770" s="26"/>
      <c r="J770" s="26"/>
    </row>
    <row r="771" ht="15.75" customHeight="1">
      <c r="C771" s="24"/>
      <c r="D771" s="25"/>
      <c r="I771" s="26"/>
      <c r="J771" s="26"/>
    </row>
    <row r="772" ht="15.75" customHeight="1">
      <c r="C772" s="24"/>
      <c r="D772" s="25"/>
      <c r="I772" s="26"/>
      <c r="J772" s="26"/>
    </row>
    <row r="773" ht="15.75" customHeight="1">
      <c r="C773" s="24"/>
      <c r="D773" s="25"/>
      <c r="I773" s="26"/>
      <c r="J773" s="26"/>
    </row>
    <row r="774" ht="15.75" customHeight="1">
      <c r="C774" s="24"/>
      <c r="D774" s="25"/>
      <c r="I774" s="26"/>
      <c r="J774" s="26"/>
    </row>
    <row r="775" ht="15.75" customHeight="1">
      <c r="C775" s="24"/>
      <c r="D775" s="25"/>
      <c r="I775" s="26"/>
      <c r="J775" s="26"/>
    </row>
    <row r="776" ht="15.75" customHeight="1">
      <c r="C776" s="24"/>
      <c r="D776" s="25"/>
      <c r="I776" s="26"/>
      <c r="J776" s="26"/>
    </row>
    <row r="777" ht="15.75" customHeight="1">
      <c r="C777" s="24"/>
      <c r="D777" s="25"/>
      <c r="I777" s="26"/>
      <c r="J777" s="26"/>
    </row>
    <row r="778" ht="15.75" customHeight="1">
      <c r="C778" s="24"/>
      <c r="D778" s="25"/>
      <c r="I778" s="26"/>
      <c r="J778" s="26"/>
    </row>
    <row r="779" ht="15.75" customHeight="1">
      <c r="C779" s="24"/>
      <c r="D779" s="25"/>
      <c r="I779" s="26"/>
      <c r="J779" s="26"/>
    </row>
    <row r="780" ht="15.75" customHeight="1">
      <c r="C780" s="24"/>
      <c r="D780" s="25"/>
      <c r="I780" s="26"/>
      <c r="J780" s="26"/>
    </row>
    <row r="781" ht="15.75" customHeight="1">
      <c r="C781" s="24"/>
      <c r="D781" s="25"/>
      <c r="I781" s="26"/>
      <c r="J781" s="26"/>
    </row>
    <row r="782" ht="15.75" customHeight="1">
      <c r="C782" s="24"/>
      <c r="D782" s="25"/>
      <c r="I782" s="26"/>
      <c r="J782" s="26"/>
    </row>
    <row r="783" ht="15.75" customHeight="1">
      <c r="C783" s="24"/>
      <c r="D783" s="25"/>
      <c r="I783" s="26"/>
      <c r="J783" s="26"/>
    </row>
    <row r="784" ht="15.75" customHeight="1">
      <c r="C784" s="24"/>
      <c r="D784" s="25"/>
      <c r="I784" s="26"/>
      <c r="J784" s="26"/>
    </row>
    <row r="785" ht="15.75" customHeight="1">
      <c r="C785" s="24"/>
      <c r="D785" s="25"/>
      <c r="I785" s="26"/>
      <c r="J785" s="26"/>
    </row>
    <row r="786" ht="15.75" customHeight="1">
      <c r="C786" s="24"/>
      <c r="D786" s="25"/>
      <c r="I786" s="26"/>
      <c r="J786" s="26"/>
    </row>
    <row r="787" ht="15.75" customHeight="1">
      <c r="C787" s="24"/>
      <c r="D787" s="25"/>
      <c r="I787" s="26"/>
      <c r="J787" s="26"/>
    </row>
    <row r="788" ht="15.75" customHeight="1">
      <c r="C788" s="24"/>
      <c r="D788" s="25"/>
      <c r="I788" s="26"/>
      <c r="J788" s="26"/>
    </row>
    <row r="789" ht="15.75" customHeight="1">
      <c r="C789" s="24"/>
      <c r="D789" s="25"/>
      <c r="I789" s="26"/>
      <c r="J789" s="26"/>
    </row>
    <row r="790" ht="15.75" customHeight="1">
      <c r="C790" s="24"/>
      <c r="D790" s="25"/>
      <c r="I790" s="26"/>
      <c r="J790" s="26"/>
    </row>
    <row r="791" ht="15.75" customHeight="1">
      <c r="C791" s="24"/>
      <c r="D791" s="25"/>
      <c r="I791" s="26"/>
      <c r="J791" s="26"/>
    </row>
    <row r="792" ht="15.75" customHeight="1">
      <c r="C792" s="24"/>
      <c r="D792" s="25"/>
      <c r="I792" s="26"/>
      <c r="J792" s="26"/>
    </row>
    <row r="793" ht="15.75" customHeight="1">
      <c r="C793" s="24"/>
      <c r="D793" s="25"/>
      <c r="I793" s="26"/>
      <c r="J793" s="26"/>
    </row>
    <row r="794" ht="15.75" customHeight="1">
      <c r="C794" s="24"/>
      <c r="D794" s="25"/>
      <c r="I794" s="26"/>
      <c r="J794" s="26"/>
    </row>
    <row r="795" ht="15.75" customHeight="1">
      <c r="C795" s="24"/>
      <c r="D795" s="25"/>
      <c r="I795" s="26"/>
      <c r="J795" s="26"/>
    </row>
    <row r="796" ht="15.75" customHeight="1">
      <c r="C796" s="24"/>
      <c r="D796" s="25"/>
      <c r="I796" s="26"/>
      <c r="J796" s="26"/>
    </row>
    <row r="797" ht="15.75" customHeight="1">
      <c r="C797" s="24"/>
      <c r="D797" s="25"/>
      <c r="I797" s="26"/>
      <c r="J797" s="26"/>
    </row>
    <row r="798" ht="15.75" customHeight="1">
      <c r="C798" s="24"/>
      <c r="D798" s="25"/>
      <c r="I798" s="26"/>
      <c r="J798" s="26"/>
    </row>
    <row r="799" ht="15.75" customHeight="1">
      <c r="C799" s="24"/>
      <c r="D799" s="25"/>
      <c r="I799" s="26"/>
      <c r="J799" s="26"/>
    </row>
    <row r="800" ht="15.75" customHeight="1">
      <c r="C800" s="24"/>
      <c r="D800" s="25"/>
      <c r="I800" s="26"/>
      <c r="J800" s="26"/>
    </row>
    <row r="801" ht="15.75" customHeight="1">
      <c r="C801" s="24"/>
      <c r="D801" s="25"/>
      <c r="I801" s="26"/>
      <c r="J801" s="26"/>
    </row>
    <row r="802" ht="15.75" customHeight="1">
      <c r="C802" s="24"/>
      <c r="D802" s="25"/>
      <c r="I802" s="26"/>
      <c r="J802" s="26"/>
    </row>
    <row r="803" ht="15.75" customHeight="1">
      <c r="C803" s="24"/>
      <c r="D803" s="25"/>
      <c r="I803" s="26"/>
      <c r="J803" s="26"/>
    </row>
    <row r="804" ht="15.75" customHeight="1">
      <c r="C804" s="24"/>
      <c r="D804" s="25"/>
      <c r="I804" s="26"/>
      <c r="J804" s="26"/>
    </row>
    <row r="805" ht="15.75" customHeight="1">
      <c r="C805" s="24"/>
      <c r="D805" s="25"/>
      <c r="I805" s="26"/>
      <c r="J805" s="26"/>
    </row>
    <row r="806" ht="15.75" customHeight="1">
      <c r="C806" s="24"/>
      <c r="D806" s="25"/>
      <c r="I806" s="26"/>
      <c r="J806" s="26"/>
    </row>
    <row r="807" ht="15.75" customHeight="1">
      <c r="C807" s="24"/>
      <c r="D807" s="25"/>
      <c r="I807" s="26"/>
      <c r="J807" s="26"/>
    </row>
    <row r="808" ht="15.75" customHeight="1">
      <c r="C808" s="24"/>
      <c r="D808" s="25"/>
      <c r="I808" s="26"/>
      <c r="J808" s="26"/>
    </row>
    <row r="809" ht="15.75" customHeight="1">
      <c r="C809" s="24"/>
      <c r="D809" s="25"/>
      <c r="I809" s="26"/>
      <c r="J809" s="26"/>
    </row>
    <row r="810" ht="15.75" customHeight="1">
      <c r="C810" s="24"/>
      <c r="D810" s="25"/>
      <c r="I810" s="26"/>
      <c r="J810" s="26"/>
    </row>
    <row r="811" ht="15.75" customHeight="1">
      <c r="C811" s="24"/>
      <c r="D811" s="25"/>
      <c r="I811" s="26"/>
      <c r="J811" s="26"/>
    </row>
    <row r="812" ht="15.75" customHeight="1">
      <c r="C812" s="24"/>
      <c r="D812" s="25"/>
      <c r="I812" s="26"/>
      <c r="J812" s="26"/>
    </row>
    <row r="813" ht="15.75" customHeight="1">
      <c r="C813" s="24"/>
      <c r="D813" s="25"/>
      <c r="I813" s="26"/>
      <c r="J813" s="26"/>
    </row>
    <row r="814" ht="15.75" customHeight="1">
      <c r="C814" s="24"/>
      <c r="D814" s="25"/>
      <c r="I814" s="26"/>
      <c r="J814" s="26"/>
    </row>
    <row r="815" ht="15.75" customHeight="1">
      <c r="C815" s="24"/>
      <c r="D815" s="25"/>
      <c r="I815" s="26"/>
      <c r="J815" s="26"/>
    </row>
    <row r="816" ht="15.75" customHeight="1">
      <c r="C816" s="24"/>
      <c r="D816" s="25"/>
      <c r="I816" s="26"/>
      <c r="J816" s="26"/>
    </row>
    <row r="817" ht="15.75" customHeight="1">
      <c r="C817" s="24"/>
      <c r="D817" s="25"/>
      <c r="I817" s="26"/>
      <c r="J817" s="26"/>
    </row>
    <row r="818" ht="15.75" customHeight="1">
      <c r="C818" s="24"/>
      <c r="D818" s="25"/>
      <c r="I818" s="26"/>
      <c r="J818" s="26"/>
    </row>
    <row r="819" ht="15.75" customHeight="1">
      <c r="C819" s="24"/>
      <c r="D819" s="25"/>
      <c r="I819" s="26"/>
      <c r="J819" s="26"/>
    </row>
    <row r="820" ht="15.75" customHeight="1">
      <c r="C820" s="24"/>
      <c r="D820" s="25"/>
      <c r="I820" s="26"/>
      <c r="J820" s="26"/>
    </row>
    <row r="821" ht="15.75" customHeight="1">
      <c r="C821" s="24"/>
      <c r="D821" s="25"/>
      <c r="I821" s="26"/>
      <c r="J821" s="26"/>
    </row>
    <row r="822" ht="15.75" customHeight="1">
      <c r="C822" s="24"/>
      <c r="D822" s="25"/>
      <c r="I822" s="26"/>
      <c r="J822" s="26"/>
    </row>
    <row r="823" ht="15.75" customHeight="1">
      <c r="C823" s="24"/>
      <c r="D823" s="25"/>
      <c r="I823" s="26"/>
      <c r="J823" s="26"/>
    </row>
    <row r="824" ht="15.75" customHeight="1">
      <c r="C824" s="24"/>
      <c r="D824" s="25"/>
      <c r="I824" s="26"/>
      <c r="J824" s="26"/>
    </row>
    <row r="825" ht="15.75" customHeight="1">
      <c r="C825" s="24"/>
      <c r="D825" s="25"/>
      <c r="I825" s="26"/>
      <c r="J825" s="26"/>
    </row>
    <row r="826" ht="15.75" customHeight="1">
      <c r="C826" s="24"/>
      <c r="D826" s="25"/>
      <c r="I826" s="26"/>
      <c r="J826" s="26"/>
    </row>
    <row r="827" ht="15.75" customHeight="1">
      <c r="C827" s="24"/>
      <c r="D827" s="25"/>
      <c r="I827" s="26"/>
      <c r="J827" s="26"/>
    </row>
    <row r="828" ht="15.75" customHeight="1">
      <c r="C828" s="24"/>
      <c r="D828" s="25"/>
      <c r="I828" s="26"/>
      <c r="J828" s="26"/>
    </row>
    <row r="829" ht="15.75" customHeight="1">
      <c r="C829" s="24"/>
      <c r="D829" s="25"/>
      <c r="I829" s="26"/>
      <c r="J829" s="26"/>
    </row>
    <row r="830" ht="15.75" customHeight="1">
      <c r="C830" s="24"/>
      <c r="D830" s="25"/>
      <c r="I830" s="26"/>
      <c r="J830" s="26"/>
    </row>
    <row r="831" ht="15.75" customHeight="1">
      <c r="C831" s="24"/>
      <c r="D831" s="25"/>
      <c r="I831" s="26"/>
      <c r="J831" s="26"/>
    </row>
    <row r="832" ht="15.75" customHeight="1">
      <c r="C832" s="24"/>
      <c r="D832" s="25"/>
      <c r="I832" s="26"/>
      <c r="J832" s="26"/>
    </row>
    <row r="833" ht="15.75" customHeight="1">
      <c r="C833" s="24"/>
      <c r="D833" s="25"/>
      <c r="I833" s="26"/>
      <c r="J833" s="26"/>
    </row>
    <row r="834" ht="15.75" customHeight="1">
      <c r="C834" s="24"/>
      <c r="D834" s="25"/>
      <c r="I834" s="26"/>
      <c r="J834" s="26"/>
    </row>
    <row r="835" ht="15.75" customHeight="1">
      <c r="C835" s="24"/>
      <c r="D835" s="25"/>
      <c r="I835" s="26"/>
      <c r="J835" s="26"/>
    </row>
    <row r="836" ht="15.75" customHeight="1">
      <c r="C836" s="24"/>
      <c r="D836" s="25"/>
      <c r="I836" s="26"/>
      <c r="J836" s="26"/>
    </row>
    <row r="837" ht="15.75" customHeight="1">
      <c r="C837" s="24"/>
      <c r="D837" s="25"/>
      <c r="I837" s="26"/>
      <c r="J837" s="26"/>
    </row>
    <row r="838" ht="15.75" customHeight="1">
      <c r="C838" s="24"/>
      <c r="D838" s="25"/>
      <c r="I838" s="26"/>
      <c r="J838" s="26"/>
    </row>
    <row r="839" ht="15.75" customHeight="1">
      <c r="C839" s="24"/>
      <c r="D839" s="25"/>
      <c r="I839" s="26"/>
      <c r="J839" s="26"/>
    </row>
    <row r="840" ht="15.75" customHeight="1">
      <c r="C840" s="24"/>
      <c r="D840" s="25"/>
      <c r="I840" s="26"/>
      <c r="J840" s="26"/>
    </row>
    <row r="841" ht="15.75" customHeight="1">
      <c r="C841" s="24"/>
      <c r="D841" s="25"/>
      <c r="I841" s="26"/>
      <c r="J841" s="26"/>
    </row>
    <row r="842" ht="15.75" customHeight="1">
      <c r="C842" s="24"/>
      <c r="D842" s="25"/>
      <c r="I842" s="26"/>
      <c r="J842" s="26"/>
    </row>
    <row r="843" ht="15.75" customHeight="1">
      <c r="C843" s="24"/>
      <c r="D843" s="25"/>
      <c r="I843" s="26"/>
      <c r="J843" s="26"/>
    </row>
    <row r="844" ht="15.75" customHeight="1">
      <c r="C844" s="24"/>
      <c r="D844" s="25"/>
      <c r="I844" s="26"/>
      <c r="J844" s="26"/>
    </row>
    <row r="845" ht="15.75" customHeight="1">
      <c r="C845" s="24"/>
      <c r="D845" s="25"/>
      <c r="I845" s="26"/>
      <c r="J845" s="26"/>
    </row>
    <row r="846" ht="15.75" customHeight="1">
      <c r="C846" s="24"/>
      <c r="D846" s="25"/>
      <c r="I846" s="26"/>
      <c r="J846" s="26"/>
    </row>
    <row r="847" ht="15.75" customHeight="1">
      <c r="C847" s="24"/>
      <c r="D847" s="25"/>
      <c r="I847" s="26"/>
      <c r="J847" s="26"/>
    </row>
    <row r="848" ht="15.75" customHeight="1">
      <c r="C848" s="24"/>
      <c r="D848" s="25"/>
      <c r="I848" s="26"/>
      <c r="J848" s="26"/>
    </row>
    <row r="849" ht="15.75" customHeight="1">
      <c r="C849" s="24"/>
      <c r="D849" s="25"/>
      <c r="I849" s="26"/>
      <c r="J849" s="26"/>
    </row>
    <row r="850" ht="15.75" customHeight="1">
      <c r="C850" s="24"/>
      <c r="D850" s="25"/>
      <c r="I850" s="26"/>
      <c r="J850" s="26"/>
    </row>
    <row r="851" ht="15.75" customHeight="1">
      <c r="C851" s="24"/>
      <c r="D851" s="25"/>
      <c r="I851" s="26"/>
      <c r="J851" s="26"/>
    </row>
    <row r="852" ht="15.75" customHeight="1">
      <c r="C852" s="24"/>
      <c r="D852" s="25"/>
      <c r="I852" s="26"/>
      <c r="J852" s="26"/>
    </row>
    <row r="853" ht="15.75" customHeight="1">
      <c r="C853" s="24"/>
      <c r="D853" s="25"/>
      <c r="I853" s="26"/>
      <c r="J853" s="26"/>
    </row>
    <row r="854" ht="15.75" customHeight="1">
      <c r="C854" s="24"/>
      <c r="D854" s="25"/>
      <c r="I854" s="26"/>
      <c r="J854" s="26"/>
    </row>
    <row r="855" ht="15.75" customHeight="1">
      <c r="C855" s="24"/>
      <c r="D855" s="25"/>
      <c r="I855" s="26"/>
      <c r="J855" s="26"/>
    </row>
    <row r="856" ht="15.75" customHeight="1">
      <c r="C856" s="24"/>
      <c r="D856" s="25"/>
      <c r="I856" s="26"/>
      <c r="J856" s="26"/>
    </row>
    <row r="857" ht="15.75" customHeight="1">
      <c r="C857" s="24"/>
      <c r="D857" s="25"/>
      <c r="I857" s="26"/>
      <c r="J857" s="26"/>
    </row>
    <row r="858" ht="15.75" customHeight="1">
      <c r="C858" s="24"/>
      <c r="D858" s="25"/>
      <c r="I858" s="26"/>
      <c r="J858" s="26"/>
    </row>
    <row r="859" ht="15.75" customHeight="1">
      <c r="C859" s="24"/>
      <c r="D859" s="25"/>
      <c r="I859" s="26"/>
      <c r="J859" s="26"/>
    </row>
    <row r="860" ht="15.75" customHeight="1">
      <c r="C860" s="24"/>
      <c r="D860" s="25"/>
      <c r="I860" s="26"/>
      <c r="J860" s="26"/>
    </row>
    <row r="861" ht="15.75" customHeight="1">
      <c r="C861" s="24"/>
      <c r="D861" s="25"/>
      <c r="I861" s="26"/>
      <c r="J861" s="26"/>
    </row>
    <row r="862" ht="15.75" customHeight="1">
      <c r="C862" s="24"/>
      <c r="D862" s="25"/>
      <c r="I862" s="26"/>
      <c r="J862" s="26"/>
    </row>
    <row r="863" ht="15.75" customHeight="1">
      <c r="C863" s="24"/>
      <c r="D863" s="25"/>
      <c r="I863" s="26"/>
      <c r="J863" s="26"/>
    </row>
    <row r="864" ht="15.75" customHeight="1">
      <c r="C864" s="24"/>
      <c r="D864" s="25"/>
      <c r="I864" s="26"/>
      <c r="J864" s="26"/>
    </row>
    <row r="865" ht="15.75" customHeight="1">
      <c r="C865" s="24"/>
      <c r="D865" s="25"/>
      <c r="I865" s="26"/>
      <c r="J865" s="26"/>
    </row>
    <row r="866" ht="15.75" customHeight="1">
      <c r="C866" s="24"/>
      <c r="D866" s="25"/>
      <c r="I866" s="26"/>
      <c r="J866" s="26"/>
    </row>
    <row r="867" ht="15.75" customHeight="1">
      <c r="C867" s="24"/>
      <c r="D867" s="25"/>
      <c r="I867" s="26"/>
      <c r="J867" s="26"/>
    </row>
    <row r="868" ht="15.75" customHeight="1">
      <c r="C868" s="24"/>
      <c r="D868" s="25"/>
      <c r="I868" s="26"/>
      <c r="J868" s="26"/>
    </row>
    <row r="869" ht="15.75" customHeight="1">
      <c r="C869" s="24"/>
      <c r="D869" s="25"/>
      <c r="I869" s="26"/>
      <c r="J869" s="26"/>
    </row>
    <row r="870" ht="15.75" customHeight="1">
      <c r="C870" s="24"/>
      <c r="D870" s="25"/>
      <c r="I870" s="26"/>
      <c r="J870" s="26"/>
    </row>
    <row r="871" ht="15.75" customHeight="1">
      <c r="C871" s="24"/>
      <c r="D871" s="25"/>
      <c r="I871" s="26"/>
      <c r="J871" s="26"/>
    </row>
    <row r="872" ht="15.75" customHeight="1">
      <c r="C872" s="24"/>
      <c r="D872" s="25"/>
      <c r="I872" s="26"/>
      <c r="J872" s="26"/>
    </row>
    <row r="873" ht="15.75" customHeight="1">
      <c r="C873" s="24"/>
      <c r="D873" s="25"/>
      <c r="I873" s="26"/>
      <c r="J873" s="26"/>
    </row>
    <row r="874" ht="15.75" customHeight="1">
      <c r="C874" s="24"/>
      <c r="D874" s="25"/>
      <c r="I874" s="26"/>
      <c r="J874" s="26"/>
    </row>
    <row r="875" ht="15.75" customHeight="1">
      <c r="C875" s="24"/>
      <c r="D875" s="25"/>
      <c r="I875" s="26"/>
      <c r="J875" s="26"/>
    </row>
    <row r="876" ht="15.75" customHeight="1">
      <c r="C876" s="24"/>
      <c r="D876" s="25"/>
      <c r="I876" s="26"/>
      <c r="J876" s="26"/>
    </row>
    <row r="877" ht="15.75" customHeight="1">
      <c r="C877" s="24"/>
      <c r="D877" s="25"/>
      <c r="I877" s="26"/>
      <c r="J877" s="26"/>
    </row>
    <row r="878" ht="15.75" customHeight="1">
      <c r="C878" s="24"/>
      <c r="D878" s="25"/>
      <c r="I878" s="26"/>
      <c r="J878" s="26"/>
    </row>
    <row r="879" ht="15.75" customHeight="1">
      <c r="C879" s="24"/>
      <c r="D879" s="25"/>
      <c r="I879" s="26"/>
      <c r="J879" s="26"/>
    </row>
    <row r="880" ht="15.75" customHeight="1">
      <c r="C880" s="24"/>
      <c r="D880" s="25"/>
      <c r="I880" s="26"/>
      <c r="J880" s="26"/>
    </row>
    <row r="881" ht="15.75" customHeight="1">
      <c r="C881" s="24"/>
      <c r="D881" s="25"/>
      <c r="I881" s="26"/>
      <c r="J881" s="26"/>
    </row>
    <row r="882" ht="15.75" customHeight="1">
      <c r="C882" s="24"/>
      <c r="D882" s="25"/>
      <c r="I882" s="26"/>
      <c r="J882" s="26"/>
    </row>
    <row r="883" ht="15.75" customHeight="1">
      <c r="C883" s="24"/>
      <c r="D883" s="25"/>
      <c r="I883" s="26"/>
      <c r="J883" s="26"/>
    </row>
    <row r="884" ht="15.75" customHeight="1">
      <c r="C884" s="24"/>
      <c r="D884" s="25"/>
      <c r="I884" s="26"/>
      <c r="J884" s="26"/>
    </row>
    <row r="885" ht="15.75" customHeight="1">
      <c r="C885" s="24"/>
      <c r="D885" s="25"/>
      <c r="I885" s="26"/>
      <c r="J885" s="26"/>
    </row>
    <row r="886" ht="15.75" customHeight="1">
      <c r="C886" s="24"/>
      <c r="D886" s="25"/>
      <c r="I886" s="26"/>
      <c r="J886" s="26"/>
    </row>
    <row r="887" ht="15.75" customHeight="1">
      <c r="C887" s="24"/>
      <c r="D887" s="25"/>
      <c r="I887" s="26"/>
      <c r="J887" s="26"/>
    </row>
    <row r="888" ht="15.75" customHeight="1">
      <c r="C888" s="24"/>
      <c r="D888" s="25"/>
      <c r="I888" s="26"/>
      <c r="J888" s="26"/>
    </row>
    <row r="889" ht="15.75" customHeight="1">
      <c r="C889" s="24"/>
      <c r="D889" s="25"/>
      <c r="I889" s="26"/>
      <c r="J889" s="26"/>
    </row>
    <row r="890" ht="15.75" customHeight="1">
      <c r="C890" s="24"/>
      <c r="D890" s="25"/>
      <c r="I890" s="26"/>
      <c r="J890" s="26"/>
    </row>
    <row r="891" ht="15.75" customHeight="1">
      <c r="C891" s="24"/>
      <c r="D891" s="25"/>
      <c r="I891" s="26"/>
      <c r="J891" s="26"/>
    </row>
    <row r="892" ht="15.75" customHeight="1">
      <c r="C892" s="24"/>
      <c r="D892" s="25"/>
      <c r="I892" s="26"/>
      <c r="J892" s="26"/>
    </row>
    <row r="893" ht="15.75" customHeight="1">
      <c r="C893" s="24"/>
      <c r="D893" s="25"/>
      <c r="I893" s="26"/>
      <c r="J893" s="26"/>
    </row>
    <row r="894" ht="15.75" customHeight="1">
      <c r="C894" s="24"/>
      <c r="D894" s="25"/>
      <c r="I894" s="26"/>
      <c r="J894" s="26"/>
    </row>
    <row r="895" ht="15.75" customHeight="1">
      <c r="C895" s="24"/>
      <c r="D895" s="25"/>
      <c r="I895" s="26"/>
      <c r="J895" s="26"/>
    </row>
    <row r="896" ht="15.75" customHeight="1">
      <c r="C896" s="24"/>
      <c r="D896" s="25"/>
      <c r="I896" s="26"/>
      <c r="J896" s="26"/>
    </row>
    <row r="897" ht="15.75" customHeight="1">
      <c r="C897" s="24"/>
      <c r="D897" s="25"/>
      <c r="I897" s="26"/>
      <c r="J897" s="26"/>
    </row>
    <row r="898" ht="15.75" customHeight="1">
      <c r="C898" s="24"/>
      <c r="D898" s="25"/>
      <c r="I898" s="26"/>
      <c r="J898" s="26"/>
    </row>
    <row r="899" ht="15.75" customHeight="1">
      <c r="C899" s="24"/>
      <c r="D899" s="25"/>
      <c r="I899" s="26"/>
      <c r="J899" s="26"/>
    </row>
    <row r="900" ht="15.75" customHeight="1">
      <c r="C900" s="24"/>
      <c r="D900" s="25"/>
      <c r="I900" s="26"/>
      <c r="J900" s="26"/>
    </row>
    <row r="901" ht="15.75" customHeight="1">
      <c r="C901" s="24"/>
      <c r="D901" s="25"/>
      <c r="I901" s="26"/>
      <c r="J901" s="26"/>
    </row>
    <row r="902" ht="15.75" customHeight="1">
      <c r="C902" s="24"/>
      <c r="D902" s="25"/>
      <c r="I902" s="26"/>
      <c r="J902" s="26"/>
    </row>
    <row r="903" ht="15.75" customHeight="1">
      <c r="C903" s="24"/>
      <c r="D903" s="25"/>
      <c r="I903" s="26"/>
      <c r="J903" s="26"/>
    </row>
    <row r="904" ht="15.75" customHeight="1">
      <c r="C904" s="24"/>
      <c r="D904" s="25"/>
      <c r="I904" s="26"/>
      <c r="J904" s="26"/>
    </row>
    <row r="905" ht="15.75" customHeight="1">
      <c r="C905" s="24"/>
      <c r="D905" s="25"/>
      <c r="I905" s="26"/>
      <c r="J905" s="26"/>
    </row>
    <row r="906" ht="15.75" customHeight="1">
      <c r="C906" s="24"/>
      <c r="D906" s="25"/>
      <c r="I906" s="26"/>
      <c r="J906" s="26"/>
    </row>
    <row r="907" ht="15.75" customHeight="1">
      <c r="C907" s="24"/>
      <c r="D907" s="25"/>
      <c r="I907" s="26"/>
      <c r="J907" s="26"/>
    </row>
    <row r="908" ht="15.75" customHeight="1">
      <c r="C908" s="24"/>
      <c r="D908" s="25"/>
      <c r="I908" s="26"/>
      <c r="J908" s="26"/>
    </row>
    <row r="909" ht="15.75" customHeight="1">
      <c r="C909" s="24"/>
      <c r="D909" s="25"/>
      <c r="I909" s="26"/>
      <c r="J909" s="26"/>
    </row>
    <row r="910" ht="15.75" customHeight="1">
      <c r="C910" s="24"/>
      <c r="D910" s="25"/>
      <c r="I910" s="26"/>
      <c r="J910" s="26"/>
    </row>
    <row r="911" ht="15.75" customHeight="1">
      <c r="C911" s="24"/>
      <c r="D911" s="25"/>
      <c r="I911" s="26"/>
      <c r="J911" s="26"/>
    </row>
    <row r="912" ht="15.75" customHeight="1">
      <c r="C912" s="24"/>
      <c r="D912" s="25"/>
      <c r="I912" s="26"/>
      <c r="J912" s="26"/>
    </row>
    <row r="913" ht="15.75" customHeight="1">
      <c r="C913" s="24"/>
      <c r="D913" s="25"/>
      <c r="I913" s="26"/>
      <c r="J913" s="26"/>
    </row>
    <row r="914" ht="15.75" customHeight="1">
      <c r="C914" s="24"/>
      <c r="D914" s="25"/>
      <c r="I914" s="26"/>
      <c r="J914" s="26"/>
    </row>
    <row r="915" ht="15.75" customHeight="1">
      <c r="C915" s="24"/>
      <c r="D915" s="25"/>
      <c r="I915" s="26"/>
      <c r="J915" s="26"/>
    </row>
    <row r="916" ht="15.75" customHeight="1">
      <c r="C916" s="24"/>
      <c r="D916" s="25"/>
      <c r="I916" s="26"/>
      <c r="J916" s="26"/>
    </row>
    <row r="917" ht="15.75" customHeight="1">
      <c r="C917" s="24"/>
      <c r="D917" s="25"/>
      <c r="I917" s="26"/>
      <c r="J917" s="26"/>
    </row>
    <row r="918" ht="15.75" customHeight="1">
      <c r="C918" s="24"/>
      <c r="D918" s="25"/>
      <c r="I918" s="26"/>
      <c r="J918" s="26"/>
    </row>
    <row r="919" ht="15.75" customHeight="1">
      <c r="C919" s="24"/>
      <c r="D919" s="25"/>
      <c r="I919" s="26"/>
      <c r="J919" s="26"/>
    </row>
    <row r="920" ht="15.75" customHeight="1">
      <c r="C920" s="24"/>
      <c r="D920" s="25"/>
      <c r="I920" s="26"/>
      <c r="J920" s="26"/>
    </row>
    <row r="921" ht="15.75" customHeight="1">
      <c r="C921" s="24"/>
      <c r="D921" s="25"/>
      <c r="I921" s="26"/>
      <c r="J921" s="26"/>
    </row>
    <row r="922" ht="15.75" customHeight="1">
      <c r="C922" s="24"/>
      <c r="D922" s="25"/>
      <c r="I922" s="26"/>
      <c r="J922" s="26"/>
    </row>
    <row r="923" ht="15.75" customHeight="1">
      <c r="C923" s="24"/>
      <c r="D923" s="25"/>
      <c r="I923" s="26"/>
      <c r="J923" s="26"/>
    </row>
    <row r="924" ht="15.75" customHeight="1">
      <c r="C924" s="24"/>
      <c r="D924" s="25"/>
      <c r="I924" s="26"/>
      <c r="J924" s="26"/>
    </row>
    <row r="925" ht="15.75" customHeight="1">
      <c r="C925" s="24"/>
      <c r="D925" s="25"/>
      <c r="I925" s="26"/>
      <c r="J925" s="26"/>
    </row>
    <row r="926" ht="15.75" customHeight="1">
      <c r="C926" s="24"/>
      <c r="D926" s="25"/>
      <c r="I926" s="26"/>
      <c r="J926" s="26"/>
    </row>
    <row r="927" ht="15.75" customHeight="1">
      <c r="C927" s="24"/>
      <c r="D927" s="25"/>
      <c r="I927" s="26"/>
      <c r="J927" s="26"/>
    </row>
    <row r="928" ht="15.75" customHeight="1">
      <c r="C928" s="24"/>
      <c r="D928" s="25"/>
      <c r="I928" s="26"/>
      <c r="J928" s="26"/>
    </row>
    <row r="929" ht="15.75" customHeight="1">
      <c r="C929" s="24"/>
      <c r="D929" s="25"/>
      <c r="I929" s="26"/>
      <c r="J929" s="26"/>
    </row>
    <row r="930" ht="15.75" customHeight="1">
      <c r="C930" s="24"/>
      <c r="D930" s="25"/>
      <c r="I930" s="26"/>
      <c r="J930" s="26"/>
    </row>
    <row r="931" ht="15.75" customHeight="1">
      <c r="C931" s="24"/>
      <c r="D931" s="25"/>
      <c r="I931" s="26"/>
      <c r="J931" s="26"/>
    </row>
    <row r="932" ht="15.75" customHeight="1">
      <c r="C932" s="24"/>
      <c r="D932" s="25"/>
      <c r="I932" s="26"/>
      <c r="J932" s="26"/>
    </row>
    <row r="933" ht="15.75" customHeight="1">
      <c r="C933" s="24"/>
      <c r="D933" s="25"/>
      <c r="I933" s="26"/>
      <c r="J933" s="26"/>
    </row>
    <row r="934" ht="15.75" customHeight="1">
      <c r="C934" s="24"/>
      <c r="D934" s="25"/>
      <c r="I934" s="26"/>
      <c r="J934" s="26"/>
    </row>
    <row r="935" ht="15.75" customHeight="1">
      <c r="C935" s="24"/>
      <c r="D935" s="25"/>
      <c r="I935" s="26"/>
      <c r="J935" s="26"/>
    </row>
    <row r="936" ht="15.75" customHeight="1">
      <c r="C936" s="24"/>
      <c r="D936" s="25"/>
      <c r="I936" s="26"/>
      <c r="J936" s="26"/>
    </row>
    <row r="937" ht="15.75" customHeight="1">
      <c r="C937" s="24"/>
      <c r="D937" s="25"/>
      <c r="I937" s="26"/>
      <c r="J937" s="26"/>
    </row>
    <row r="938" ht="15.75" customHeight="1">
      <c r="C938" s="24"/>
      <c r="D938" s="25"/>
      <c r="I938" s="26"/>
      <c r="J938" s="26"/>
    </row>
    <row r="939" ht="15.75" customHeight="1">
      <c r="C939" s="24"/>
      <c r="D939" s="25"/>
      <c r="I939" s="26"/>
      <c r="J939" s="26"/>
    </row>
    <row r="940" ht="15.75" customHeight="1">
      <c r="C940" s="24"/>
      <c r="D940" s="25"/>
      <c r="I940" s="26"/>
      <c r="J940" s="26"/>
    </row>
    <row r="941" ht="15.75" customHeight="1">
      <c r="C941" s="24"/>
      <c r="D941" s="25"/>
      <c r="I941" s="26"/>
      <c r="J941" s="26"/>
    </row>
    <row r="942" ht="15.75" customHeight="1">
      <c r="C942" s="24"/>
      <c r="D942" s="25"/>
      <c r="I942" s="26"/>
      <c r="J942" s="26"/>
    </row>
    <row r="943" ht="15.75" customHeight="1">
      <c r="C943" s="24"/>
      <c r="D943" s="25"/>
      <c r="I943" s="26"/>
      <c r="J943" s="26"/>
    </row>
    <row r="944" ht="15.75" customHeight="1">
      <c r="C944" s="24"/>
      <c r="D944" s="25"/>
      <c r="I944" s="26"/>
      <c r="J944" s="26"/>
    </row>
    <row r="945" ht="15.75" customHeight="1">
      <c r="C945" s="24"/>
      <c r="D945" s="25"/>
      <c r="I945" s="26"/>
      <c r="J945" s="26"/>
    </row>
    <row r="946" ht="15.75" customHeight="1">
      <c r="C946" s="24"/>
      <c r="D946" s="25"/>
      <c r="I946" s="26"/>
      <c r="J946" s="26"/>
    </row>
    <row r="947" ht="15.75" customHeight="1">
      <c r="C947" s="24"/>
      <c r="D947" s="25"/>
      <c r="I947" s="26"/>
      <c r="J947" s="26"/>
    </row>
    <row r="948" ht="15.75" customHeight="1">
      <c r="C948" s="24"/>
      <c r="D948" s="25"/>
      <c r="I948" s="26"/>
      <c r="J948" s="26"/>
    </row>
    <row r="949" ht="15.75" customHeight="1">
      <c r="C949" s="24"/>
      <c r="D949" s="25"/>
      <c r="I949" s="26"/>
      <c r="J949" s="26"/>
    </row>
    <row r="950" ht="15.75" customHeight="1">
      <c r="C950" s="24"/>
      <c r="D950" s="25"/>
      <c r="I950" s="26"/>
      <c r="J950" s="26"/>
    </row>
    <row r="951" ht="15.75" customHeight="1">
      <c r="C951" s="24"/>
      <c r="D951" s="25"/>
      <c r="I951" s="26"/>
      <c r="J951" s="26"/>
    </row>
    <row r="952" ht="15.75" customHeight="1">
      <c r="C952" s="24"/>
      <c r="D952" s="25"/>
      <c r="I952" s="26"/>
      <c r="J952" s="26"/>
    </row>
    <row r="953" ht="15.75" customHeight="1">
      <c r="C953" s="24"/>
      <c r="D953" s="25"/>
      <c r="I953" s="26"/>
      <c r="J953" s="26"/>
    </row>
    <row r="954" ht="15.75" customHeight="1">
      <c r="C954" s="24"/>
      <c r="D954" s="25"/>
      <c r="I954" s="26"/>
      <c r="J954" s="26"/>
    </row>
    <row r="955" ht="15.75" customHeight="1">
      <c r="C955" s="24"/>
      <c r="D955" s="25"/>
      <c r="I955" s="26"/>
      <c r="J955" s="26"/>
    </row>
    <row r="956" ht="15.75" customHeight="1">
      <c r="C956" s="24"/>
      <c r="D956" s="25"/>
      <c r="I956" s="26"/>
      <c r="J956" s="26"/>
    </row>
    <row r="957" ht="15.75" customHeight="1">
      <c r="C957" s="24"/>
      <c r="D957" s="25"/>
      <c r="I957" s="26"/>
      <c r="J957" s="26"/>
    </row>
    <row r="958" ht="15.75" customHeight="1">
      <c r="C958" s="24"/>
      <c r="D958" s="25"/>
      <c r="I958" s="26"/>
      <c r="J958" s="26"/>
    </row>
    <row r="959" ht="15.75" customHeight="1">
      <c r="C959" s="24"/>
      <c r="D959" s="25"/>
      <c r="I959" s="26"/>
      <c r="J959" s="26"/>
    </row>
    <row r="960" ht="15.75" customHeight="1">
      <c r="C960" s="24"/>
      <c r="D960" s="25"/>
      <c r="I960" s="26"/>
      <c r="J960" s="26"/>
    </row>
    <row r="961" ht="15.75" customHeight="1">
      <c r="C961" s="24"/>
      <c r="D961" s="25"/>
      <c r="I961" s="26"/>
      <c r="J961" s="26"/>
    </row>
    <row r="962" ht="15.75" customHeight="1">
      <c r="C962" s="24"/>
      <c r="D962" s="25"/>
      <c r="I962" s="26"/>
      <c r="J962" s="26"/>
    </row>
    <row r="963" ht="15.75" customHeight="1">
      <c r="C963" s="24"/>
      <c r="D963" s="25"/>
      <c r="I963" s="26"/>
      <c r="J963" s="26"/>
    </row>
    <row r="964" ht="15.75" customHeight="1">
      <c r="C964" s="24"/>
      <c r="D964" s="25"/>
      <c r="I964" s="26"/>
      <c r="J964" s="26"/>
    </row>
    <row r="965" ht="15.75" customHeight="1">
      <c r="C965" s="24"/>
      <c r="D965" s="25"/>
      <c r="I965" s="26"/>
      <c r="J965" s="26"/>
    </row>
    <row r="966" ht="15.75" customHeight="1">
      <c r="C966" s="24"/>
      <c r="D966" s="25"/>
      <c r="I966" s="26"/>
      <c r="J966" s="26"/>
    </row>
    <row r="967" ht="15.75" customHeight="1">
      <c r="C967" s="24"/>
      <c r="D967" s="25"/>
      <c r="I967" s="26"/>
      <c r="J967" s="26"/>
    </row>
    <row r="968" ht="15.75" customHeight="1">
      <c r="C968" s="24"/>
      <c r="D968" s="25"/>
      <c r="I968" s="26"/>
      <c r="J968" s="26"/>
    </row>
    <row r="969" ht="15.75" customHeight="1">
      <c r="C969" s="24"/>
      <c r="D969" s="25"/>
      <c r="I969" s="26"/>
      <c r="J969" s="26"/>
    </row>
    <row r="970" ht="15.75" customHeight="1">
      <c r="C970" s="24"/>
      <c r="D970" s="25"/>
      <c r="I970" s="26"/>
      <c r="J970" s="26"/>
    </row>
    <row r="971" ht="15.75" customHeight="1">
      <c r="C971" s="24"/>
      <c r="D971" s="25"/>
      <c r="I971" s="26"/>
      <c r="J971" s="26"/>
    </row>
    <row r="972" ht="15.75" customHeight="1">
      <c r="C972" s="24"/>
      <c r="D972" s="25"/>
      <c r="I972" s="26"/>
      <c r="J972" s="26"/>
    </row>
    <row r="973" ht="15.75" customHeight="1">
      <c r="C973" s="24"/>
      <c r="D973" s="25"/>
      <c r="I973" s="26"/>
      <c r="J973" s="26"/>
    </row>
    <row r="974" ht="15.75" customHeight="1">
      <c r="C974" s="24"/>
      <c r="D974" s="25"/>
      <c r="I974" s="26"/>
      <c r="J974" s="26"/>
    </row>
    <row r="975" ht="15.75" customHeight="1">
      <c r="C975" s="24"/>
      <c r="D975" s="25"/>
      <c r="I975" s="26"/>
      <c r="J975" s="26"/>
    </row>
    <row r="976" ht="15.75" customHeight="1">
      <c r="C976" s="24"/>
      <c r="D976" s="25"/>
      <c r="I976" s="26"/>
      <c r="J976" s="26"/>
    </row>
    <row r="977" ht="15.75" customHeight="1">
      <c r="C977" s="24"/>
      <c r="D977" s="25"/>
      <c r="I977" s="26"/>
      <c r="J977" s="26"/>
    </row>
    <row r="978" ht="15.75" customHeight="1">
      <c r="C978" s="24"/>
      <c r="D978" s="25"/>
      <c r="I978" s="26"/>
      <c r="J978" s="26"/>
    </row>
    <row r="979" ht="15.75" customHeight="1">
      <c r="C979" s="24"/>
      <c r="D979" s="25"/>
      <c r="I979" s="26"/>
      <c r="J979" s="26"/>
    </row>
    <row r="980" ht="15.75" customHeight="1">
      <c r="C980" s="24"/>
      <c r="D980" s="25"/>
      <c r="I980" s="26"/>
      <c r="J980" s="26"/>
    </row>
    <row r="981" ht="15.75" customHeight="1">
      <c r="C981" s="24"/>
      <c r="D981" s="25"/>
      <c r="I981" s="26"/>
      <c r="J981" s="26"/>
    </row>
    <row r="982" ht="15.75" customHeight="1">
      <c r="C982" s="24"/>
      <c r="D982" s="25"/>
      <c r="I982" s="26"/>
      <c r="J982" s="26"/>
    </row>
    <row r="983" ht="15.75" customHeight="1">
      <c r="C983" s="24"/>
      <c r="D983" s="25"/>
      <c r="I983" s="26"/>
      <c r="J983" s="26"/>
    </row>
    <row r="984" ht="15.75" customHeight="1">
      <c r="C984" s="24"/>
      <c r="D984" s="25"/>
      <c r="I984" s="26"/>
      <c r="J984" s="26"/>
    </row>
    <row r="985" ht="15.75" customHeight="1">
      <c r="C985" s="24"/>
      <c r="D985" s="25"/>
      <c r="I985" s="26"/>
      <c r="J985" s="26"/>
    </row>
    <row r="986" ht="15.75" customHeight="1">
      <c r="C986" s="24"/>
      <c r="D986" s="25"/>
      <c r="I986" s="26"/>
      <c r="J986" s="26"/>
    </row>
    <row r="987" ht="15.75" customHeight="1">
      <c r="C987" s="24"/>
      <c r="D987" s="25"/>
      <c r="I987" s="26"/>
      <c r="J987" s="26"/>
    </row>
    <row r="988" ht="15.75" customHeight="1">
      <c r="C988" s="24"/>
      <c r="D988" s="25"/>
      <c r="I988" s="26"/>
      <c r="J988" s="26"/>
    </row>
    <row r="989" ht="15.75" customHeight="1">
      <c r="C989" s="24"/>
      <c r="D989" s="25"/>
      <c r="I989" s="26"/>
      <c r="J989" s="26"/>
    </row>
    <row r="990" ht="15.75" customHeight="1">
      <c r="C990" s="24"/>
      <c r="D990" s="25"/>
      <c r="I990" s="26"/>
      <c r="J990" s="26"/>
    </row>
    <row r="991" ht="15.75" customHeight="1">
      <c r="C991" s="24"/>
      <c r="D991" s="25"/>
      <c r="I991" s="26"/>
      <c r="J991" s="26"/>
    </row>
    <row r="992" ht="15.75" customHeight="1">
      <c r="C992" s="24"/>
      <c r="D992" s="25"/>
      <c r="I992" s="26"/>
      <c r="J992" s="26"/>
    </row>
    <row r="993" ht="15.75" customHeight="1">
      <c r="C993" s="24"/>
      <c r="D993" s="25"/>
      <c r="I993" s="26"/>
      <c r="J993" s="26"/>
    </row>
    <row r="994" ht="15.75" customHeight="1">
      <c r="C994" s="24"/>
      <c r="D994" s="25"/>
      <c r="I994" s="26"/>
      <c r="J994" s="26"/>
    </row>
    <row r="995" ht="15.75" customHeight="1">
      <c r="C995" s="24"/>
      <c r="D995" s="25"/>
      <c r="I995" s="26"/>
      <c r="J995" s="26"/>
    </row>
    <row r="996" ht="15.75" customHeight="1">
      <c r="C996" s="24"/>
      <c r="D996" s="25"/>
      <c r="I996" s="26"/>
      <c r="J996" s="26"/>
    </row>
    <row r="997" ht="15.75" customHeight="1">
      <c r="C997" s="24"/>
      <c r="D997" s="25"/>
      <c r="I997" s="26"/>
      <c r="J997" s="26"/>
    </row>
    <row r="998" ht="15.75" customHeight="1">
      <c r="C998" s="24"/>
      <c r="D998" s="25"/>
      <c r="I998" s="26"/>
      <c r="J998" s="26"/>
    </row>
    <row r="999" ht="15.75" customHeight="1">
      <c r="C999" s="24"/>
      <c r="D999" s="25"/>
      <c r="I999" s="26"/>
      <c r="J999" s="26"/>
    </row>
    <row r="1000" ht="15.75" customHeight="1">
      <c r="C1000" s="24"/>
      <c r="D1000" s="25"/>
      <c r="I1000" s="26"/>
      <c r="J1000" s="26"/>
    </row>
    <row r="1001" ht="15.75" customHeight="1">
      <c r="C1001" s="24"/>
      <c r="D1001" s="25"/>
      <c r="I1001" s="26"/>
      <c r="J1001" s="26"/>
    </row>
  </sheetData>
  <autoFilter ref="$A$1:$S$39"/>
  <conditionalFormatting sqref="F2:F102">
    <cfRule type="expression" dxfId="0" priority="1">
      <formula>F2="Published"</formula>
    </cfRule>
  </conditionalFormatting>
  <conditionalFormatting sqref="F2:F102">
    <cfRule type="expression" dxfId="0" priority="2">
      <formula>F2="Completed"</formula>
    </cfRule>
  </conditionalFormatting>
  <conditionalFormatting sqref="F2:F102">
    <cfRule type="expression" dxfId="1" priority="3">
      <formula>F2="Delayed"</formula>
    </cfRule>
  </conditionalFormatting>
  <conditionalFormatting sqref="F2:F102">
    <cfRule type="expression" dxfId="2" priority="4">
      <formula>F2="Blocked"</formula>
    </cfRule>
  </conditionalFormatting>
  <dataValidations>
    <dataValidation type="list" allowBlank="1" sqref="L2:L102 N2:N102">
      <formula1>Lists!$J$2:$J$4</formula1>
    </dataValidation>
    <dataValidation type="list" allowBlank="1" sqref="A2:A102">
      <formula1>Lists!$A$2:$A$14</formula1>
    </dataValidation>
    <dataValidation type="list" allowBlank="1" sqref="H2:H102">
      <formula1>Lists!$M$2:$M$9</formula1>
    </dataValidation>
    <dataValidation type="list" allowBlank="1" sqref="O2:O102">
      <formula1>Lists!$K$2:$K$8</formula1>
    </dataValidation>
    <dataValidation type="list" allowBlank="1" showErrorMessage="1" sqref="D2:D1001">
      <formula1>"Industrial,IRIV EdgeAI CM5,IRIV Pi Control,IRIV SmartHub CM5,Workshop"</formula1>
    </dataValidation>
    <dataValidation type="list" allowBlank="1" sqref="F2:F102">
      <formula1>Lists!$G$2:$G$10</formula1>
    </dataValidation>
    <dataValidation type="list" allowBlank="1" sqref="E2:E11 E13:E14 E16:E17 E19:E20 E27:E102">
      <formula1>Lists!$I$2:$I$7</formula1>
    </dataValidation>
    <dataValidation type="list" allowBlank="1" sqref="G2:G102">
      <formula1>Lists!$L$2:$L$4</formula1>
    </dataValidation>
  </dataValidations>
  <hyperlinks>
    <hyperlink r:id="rId1" ref="K2"/>
    <hyperlink r:id="rId2" ref="M2"/>
    <hyperlink r:id="rId3" ref="K3"/>
    <hyperlink r:id="rId4" ref="M3"/>
    <hyperlink r:id="rId5" ref="K4"/>
    <hyperlink r:id="rId6" ref="M4"/>
    <hyperlink r:id="rId7" ref="K5"/>
    <hyperlink r:id="rId8" ref="M5"/>
  </hyperlinks>
  <printOptions/>
  <pageMargins bottom="0.75" footer="0.0" header="0.0" left="0.7" right="0.7" top="0.75"/>
  <pageSetup orientation="landscape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3" width="18.0"/>
    <col customWidth="1" min="4" max="4" width="48.0"/>
    <col customWidth="1" min="5" max="6" width="16.0"/>
    <col customWidth="1" min="7" max="7" width="48.0"/>
  </cols>
  <sheetData>
    <row r="1" ht="24.0" customHeight="1">
      <c r="A1" s="15" t="s">
        <v>39</v>
      </c>
      <c r="B1" s="15" t="s">
        <v>40</v>
      </c>
      <c r="C1" s="15" t="s">
        <v>113</v>
      </c>
      <c r="D1" s="15" t="s">
        <v>114</v>
      </c>
      <c r="E1" s="15" t="s">
        <v>44</v>
      </c>
      <c r="F1" s="15" t="s">
        <v>46</v>
      </c>
      <c r="G1" s="15" t="s">
        <v>56</v>
      </c>
    </row>
    <row r="2">
      <c r="A2" s="16" t="s">
        <v>57</v>
      </c>
      <c r="B2" s="16" t="str">
        <f t="array" ref="B2">IFERROR(INDEX(Lists!$B$2:$B$14,MATCH(A2,Lists!$A$2:$A$14,0)),"")</f>
        <v>05 Jul – 11 Jul 2026</v>
      </c>
      <c r="C2" s="16" t="s">
        <v>84</v>
      </c>
      <c r="D2" s="16" t="s">
        <v>115</v>
      </c>
      <c r="E2" s="16" t="s">
        <v>116</v>
      </c>
      <c r="F2" s="16" t="s">
        <v>63</v>
      </c>
      <c r="G2" s="16" t="s">
        <v>117</v>
      </c>
    </row>
    <row r="3">
      <c r="A3" s="16" t="s">
        <v>57</v>
      </c>
      <c r="B3" s="16" t="str">
        <f t="array" ref="B3">IFERROR(INDEX(Lists!$B$2:$B$14,MATCH(A3,Lists!$A$2:$A$14,0)),"")</f>
        <v>05 Jul – 11 Jul 2026</v>
      </c>
      <c r="C3" s="16" t="s">
        <v>84</v>
      </c>
      <c r="D3" s="16" t="s">
        <v>118</v>
      </c>
      <c r="E3" s="16" t="s">
        <v>116</v>
      </c>
      <c r="F3" s="16" t="s">
        <v>63</v>
      </c>
      <c r="G3" s="16" t="s">
        <v>119</v>
      </c>
    </row>
    <row r="4">
      <c r="A4" s="16" t="s">
        <v>57</v>
      </c>
      <c r="B4" s="16" t="str">
        <f t="array" ref="B4">IFERROR(INDEX(Lists!$B$2:$B$14,MATCH(A4,Lists!$A$2:$A$14,0)),"")</f>
        <v>05 Jul – 11 Jul 2026</v>
      </c>
      <c r="C4" s="16" t="s">
        <v>120</v>
      </c>
      <c r="D4" s="16" t="s">
        <v>121</v>
      </c>
      <c r="E4" s="16" t="s">
        <v>116</v>
      </c>
      <c r="F4" s="16" t="s">
        <v>63</v>
      </c>
      <c r="G4" s="16" t="s">
        <v>122</v>
      </c>
    </row>
    <row r="5">
      <c r="A5" s="16" t="s">
        <v>57</v>
      </c>
      <c r="B5" s="16" t="str">
        <f t="array" ref="B5">IFERROR(INDEX(Lists!$B$2:$B$14,MATCH(A5,Lists!$A$2:$A$14,0)),"")</f>
        <v>05 Jul – 11 Jul 2026</v>
      </c>
      <c r="C5" s="16" t="s">
        <v>123</v>
      </c>
      <c r="D5" s="16" t="s">
        <v>124</v>
      </c>
      <c r="E5" s="16" t="s">
        <v>116</v>
      </c>
      <c r="F5" s="16" t="s">
        <v>63</v>
      </c>
      <c r="G5" s="16" t="s">
        <v>125</v>
      </c>
    </row>
    <row r="6">
      <c r="A6" s="16" t="s">
        <v>57</v>
      </c>
      <c r="B6" s="16" t="str">
        <f t="array" ref="B6">IFERROR(INDEX(Lists!$B$2:$B$14,MATCH(A6,Lists!$A$2:$A$14,0)),"")</f>
        <v>05 Jul – 11 Jul 2026</v>
      </c>
      <c r="C6" s="16" t="s">
        <v>126</v>
      </c>
      <c r="D6" s="16" t="s">
        <v>127</v>
      </c>
      <c r="E6" s="16" t="s">
        <v>116</v>
      </c>
      <c r="F6" s="16" t="s">
        <v>63</v>
      </c>
      <c r="G6" s="16" t="s">
        <v>128</v>
      </c>
    </row>
    <row r="7">
      <c r="A7" s="16" t="s">
        <v>57</v>
      </c>
      <c r="B7" s="16" t="str">
        <f t="array" ref="B7">IFERROR(INDEX(Lists!$B$2:$B$14,MATCH(A7,Lists!$A$2:$A$14,0)),"")</f>
        <v>05 Jul – 11 Jul 2026</v>
      </c>
      <c r="C7" s="16" t="s">
        <v>129</v>
      </c>
      <c r="D7" s="16" t="s">
        <v>130</v>
      </c>
      <c r="E7" s="16" t="s">
        <v>116</v>
      </c>
      <c r="F7" s="16" t="s">
        <v>63</v>
      </c>
      <c r="G7" s="16" t="s">
        <v>131</v>
      </c>
    </row>
    <row r="8">
      <c r="A8" s="16" t="s">
        <v>57</v>
      </c>
      <c r="B8" s="16" t="str">
        <f t="array" ref="B8">IFERROR(INDEX(Lists!$B$2:$B$14,MATCH(A8,Lists!$A$2:$A$14,0)),"")</f>
        <v>05 Jul – 11 Jul 2026</v>
      </c>
      <c r="C8" s="16" t="s">
        <v>120</v>
      </c>
      <c r="D8" s="16" t="s">
        <v>132</v>
      </c>
      <c r="E8" s="16" t="s">
        <v>116</v>
      </c>
      <c r="F8" s="16" t="s">
        <v>63</v>
      </c>
      <c r="G8" s="16" t="s">
        <v>133</v>
      </c>
    </row>
    <row r="9">
      <c r="A9" s="16" t="s">
        <v>57</v>
      </c>
      <c r="B9" s="16" t="str">
        <f t="array" ref="B9">IFERROR(INDEX(Lists!$B$2:$B$14,MATCH(A9,Lists!$A$2:$A$14,0)),"")</f>
        <v>05 Jul – 11 Jul 2026</v>
      </c>
      <c r="C9" s="16" t="s">
        <v>123</v>
      </c>
      <c r="D9" s="16" t="s">
        <v>134</v>
      </c>
      <c r="E9" s="16" t="s">
        <v>116</v>
      </c>
      <c r="F9" s="16" t="s">
        <v>63</v>
      </c>
      <c r="G9" s="16" t="s">
        <v>125</v>
      </c>
    </row>
    <row r="10">
      <c r="A10" s="16" t="s">
        <v>57</v>
      </c>
      <c r="B10" s="16" t="str">
        <f t="array" ref="B10">IFERROR(INDEX(Lists!$B$2:$B$14,MATCH(A10,Lists!$A$2:$A$14,0)),"")</f>
        <v>05 Jul – 11 Jul 2026</v>
      </c>
      <c r="C10" s="16" t="s">
        <v>126</v>
      </c>
      <c r="D10" s="16" t="s">
        <v>135</v>
      </c>
      <c r="E10" s="16" t="s">
        <v>116</v>
      </c>
      <c r="F10" s="16" t="s">
        <v>63</v>
      </c>
      <c r="G10" s="16" t="s">
        <v>128</v>
      </c>
    </row>
    <row r="11">
      <c r="A11" s="16" t="s">
        <v>57</v>
      </c>
      <c r="B11" s="16" t="str">
        <f t="array" ref="B11">IFERROR(INDEX(Lists!$B$2:$B$14,MATCH(A11,Lists!$A$2:$A$14,0)),"")</f>
        <v>05 Jul – 11 Jul 2026</v>
      </c>
      <c r="C11" s="16" t="s">
        <v>129</v>
      </c>
      <c r="D11" s="16" t="s">
        <v>136</v>
      </c>
      <c r="E11" s="16" t="s">
        <v>116</v>
      </c>
      <c r="F11" s="16" t="s">
        <v>63</v>
      </c>
      <c r="G11" s="16" t="s">
        <v>131</v>
      </c>
    </row>
    <row r="12">
      <c r="A12" s="16" t="s">
        <v>57</v>
      </c>
      <c r="B12" s="16" t="str">
        <f t="array" ref="B12">IFERROR(INDEX(Lists!$B$2:$B$14,MATCH(A12,Lists!$A$2:$A$14,0)),"")</f>
        <v>05 Jul – 11 Jul 2026</v>
      </c>
      <c r="C12" s="16" t="s">
        <v>137</v>
      </c>
      <c r="D12" s="16" t="s">
        <v>138</v>
      </c>
      <c r="E12" s="16" t="s">
        <v>116</v>
      </c>
      <c r="F12" s="16" t="s">
        <v>63</v>
      </c>
      <c r="G12" s="16" t="s">
        <v>139</v>
      </c>
    </row>
    <row r="13">
      <c r="A13" s="16" t="s">
        <v>57</v>
      </c>
      <c r="B13" s="16" t="str">
        <f t="array" ref="B13">IFERROR(INDEX(Lists!$B$2:$B$14,MATCH(A13,Lists!$A$2:$A$14,0)),"")</f>
        <v>05 Jul – 11 Jul 2026</v>
      </c>
      <c r="C13" s="16" t="s">
        <v>140</v>
      </c>
      <c r="D13" s="16" t="s">
        <v>141</v>
      </c>
      <c r="E13" s="16" t="s">
        <v>116</v>
      </c>
      <c r="F13" s="16" t="s">
        <v>63</v>
      </c>
      <c r="G13" s="16" t="s">
        <v>142</v>
      </c>
    </row>
    <row r="14">
      <c r="A14" s="16" t="s">
        <v>57</v>
      </c>
      <c r="B14" s="16" t="str">
        <f t="array" ref="B14">IFERROR(INDEX(Lists!$B$2:$B$14,MATCH(A14,Lists!$A$2:$A$14,0)),"")</f>
        <v>05 Jul – 11 Jul 2026</v>
      </c>
      <c r="C14" s="16" t="s">
        <v>140</v>
      </c>
      <c r="D14" s="16" t="s">
        <v>143</v>
      </c>
      <c r="E14" s="16" t="s">
        <v>116</v>
      </c>
      <c r="F14" s="16" t="s">
        <v>63</v>
      </c>
      <c r="G14" s="16" t="s">
        <v>144</v>
      </c>
    </row>
    <row r="15">
      <c r="A15" s="16" t="s">
        <v>57</v>
      </c>
      <c r="B15" s="16" t="str">
        <f t="array" ref="B15">IFERROR(INDEX(Lists!$B$2:$B$14,MATCH(A15,Lists!$A$2:$A$14,0)),"")</f>
        <v>05 Jul – 11 Jul 2026</v>
      </c>
      <c r="C15" s="16" t="s">
        <v>140</v>
      </c>
      <c r="D15" s="16" t="s">
        <v>145</v>
      </c>
      <c r="E15" s="16" t="s">
        <v>116</v>
      </c>
      <c r="F15" s="16" t="s">
        <v>146</v>
      </c>
      <c r="G15" s="16" t="s">
        <v>147</v>
      </c>
    </row>
    <row r="16">
      <c r="A16" s="16" t="s">
        <v>57</v>
      </c>
      <c r="B16" s="16" t="str">
        <f t="array" ref="B16">IFERROR(INDEX(Lists!$B$2:$B$14,MATCH(A16,Lists!$A$2:$A$14,0)),"")</f>
        <v>05 Jul – 11 Jul 2026</v>
      </c>
      <c r="C16" s="16" t="s">
        <v>148</v>
      </c>
      <c r="D16" s="16" t="s">
        <v>149</v>
      </c>
      <c r="E16" s="16" t="s">
        <v>116</v>
      </c>
      <c r="F16" s="16" t="s">
        <v>63</v>
      </c>
      <c r="G16" s="16" t="s">
        <v>150</v>
      </c>
    </row>
    <row r="17">
      <c r="A17" s="16" t="s">
        <v>57</v>
      </c>
      <c r="B17" s="16" t="str">
        <f t="array" ref="B17">IFERROR(INDEX(Lists!$B$2:$B$14,MATCH(A17,Lists!$A$2:$A$14,0)),"")</f>
        <v>05 Jul – 11 Jul 2026</v>
      </c>
      <c r="C17" s="16" t="s">
        <v>151</v>
      </c>
      <c r="D17" s="16" t="s">
        <v>152</v>
      </c>
      <c r="E17" s="16" t="s">
        <v>116</v>
      </c>
      <c r="F17" s="16" t="s">
        <v>63</v>
      </c>
      <c r="G17" s="16" t="s">
        <v>153</v>
      </c>
    </row>
    <row r="18">
      <c r="A18" s="16" t="s">
        <v>73</v>
      </c>
      <c r="B18" s="16" t="str">
        <f t="array" ref="B18">IFERROR(INDEX(Lists!$B$2:$B$14,MATCH(A18,Lists!$A$2:$A$14,0)),"")</f>
        <v>12 Jul – 18 Jul 2026</v>
      </c>
      <c r="C18" s="16" t="s">
        <v>84</v>
      </c>
      <c r="D18" s="16" t="s">
        <v>115</v>
      </c>
      <c r="E18" s="16" t="s">
        <v>116</v>
      </c>
      <c r="F18" s="16" t="s">
        <v>63</v>
      </c>
      <c r="G18" s="16" t="s">
        <v>154</v>
      </c>
    </row>
    <row r="19">
      <c r="A19" s="16" t="s">
        <v>73</v>
      </c>
      <c r="B19" s="16" t="str">
        <f t="array" ref="B19">IFERROR(INDEX(Lists!$B$2:$B$14,MATCH(A19,Lists!$A$2:$A$14,0)),"")</f>
        <v>12 Jul – 18 Jul 2026</v>
      </c>
      <c r="C19" s="16" t="s">
        <v>84</v>
      </c>
      <c r="D19" s="16" t="s">
        <v>118</v>
      </c>
      <c r="E19" s="16" t="s">
        <v>116</v>
      </c>
      <c r="F19" s="16" t="s">
        <v>63</v>
      </c>
      <c r="G19" s="16" t="s">
        <v>119</v>
      </c>
    </row>
    <row r="20">
      <c r="A20" s="16" t="s">
        <v>73</v>
      </c>
      <c r="B20" s="16" t="str">
        <f t="array" ref="B20">IFERROR(INDEX(Lists!$B$2:$B$14,MATCH(A20,Lists!$A$2:$A$14,0)),"")</f>
        <v>12 Jul – 18 Jul 2026</v>
      </c>
      <c r="C20" s="16" t="s">
        <v>120</v>
      </c>
      <c r="D20" s="16" t="s">
        <v>121</v>
      </c>
      <c r="E20" s="16" t="s">
        <v>116</v>
      </c>
      <c r="F20" s="16" t="s">
        <v>63</v>
      </c>
      <c r="G20" s="16" t="s">
        <v>122</v>
      </c>
    </row>
    <row r="21" ht="15.75" customHeight="1">
      <c r="A21" s="16" t="s">
        <v>73</v>
      </c>
      <c r="B21" s="16" t="str">
        <f t="array" ref="B21">IFERROR(INDEX(Lists!$B$2:$B$14,MATCH(A21,Lists!$A$2:$A$14,0)),"")</f>
        <v>12 Jul – 18 Jul 2026</v>
      </c>
      <c r="C21" s="16" t="s">
        <v>123</v>
      </c>
      <c r="D21" s="16" t="s">
        <v>124</v>
      </c>
      <c r="E21" s="16" t="s">
        <v>116</v>
      </c>
      <c r="F21" s="16" t="s">
        <v>63</v>
      </c>
      <c r="G21" s="16" t="s">
        <v>125</v>
      </c>
    </row>
    <row r="22" ht="15.75" customHeight="1">
      <c r="A22" s="16" t="s">
        <v>73</v>
      </c>
      <c r="B22" s="16" t="str">
        <f t="array" ref="B22">IFERROR(INDEX(Lists!$B$2:$B$14,MATCH(A22,Lists!$A$2:$A$14,0)),"")</f>
        <v>12 Jul – 18 Jul 2026</v>
      </c>
      <c r="C22" s="16" t="s">
        <v>126</v>
      </c>
      <c r="D22" s="16" t="s">
        <v>127</v>
      </c>
      <c r="E22" s="16" t="s">
        <v>116</v>
      </c>
      <c r="F22" s="16" t="s">
        <v>63</v>
      </c>
      <c r="G22" s="16" t="s">
        <v>128</v>
      </c>
    </row>
    <row r="23" ht="15.75" customHeight="1">
      <c r="A23" s="16" t="s">
        <v>73</v>
      </c>
      <c r="B23" s="16" t="str">
        <f t="array" ref="B23">IFERROR(INDEX(Lists!$B$2:$B$14,MATCH(A23,Lists!$A$2:$A$14,0)),"")</f>
        <v>12 Jul – 18 Jul 2026</v>
      </c>
      <c r="C23" s="16" t="s">
        <v>129</v>
      </c>
      <c r="D23" s="16" t="s">
        <v>130</v>
      </c>
      <c r="E23" s="16" t="s">
        <v>116</v>
      </c>
      <c r="F23" s="16" t="s">
        <v>63</v>
      </c>
      <c r="G23" s="16" t="s">
        <v>131</v>
      </c>
    </row>
    <row r="24" ht="15.75" customHeight="1">
      <c r="A24" s="16" t="s">
        <v>73</v>
      </c>
      <c r="B24" s="16" t="str">
        <f t="array" ref="B24">IFERROR(INDEX(Lists!$B$2:$B$14,MATCH(A24,Lists!$A$2:$A$14,0)),"")</f>
        <v>12 Jul – 18 Jul 2026</v>
      </c>
      <c r="C24" s="16" t="s">
        <v>120</v>
      </c>
      <c r="D24" s="16" t="s">
        <v>132</v>
      </c>
      <c r="E24" s="16" t="s">
        <v>116</v>
      </c>
      <c r="F24" s="16" t="s">
        <v>63</v>
      </c>
      <c r="G24" s="16" t="s">
        <v>133</v>
      </c>
    </row>
    <row r="25" ht="15.75" customHeight="1">
      <c r="A25" s="16" t="s">
        <v>73</v>
      </c>
      <c r="B25" s="16" t="str">
        <f t="array" ref="B25">IFERROR(INDEX(Lists!$B$2:$B$14,MATCH(A25,Lists!$A$2:$A$14,0)),"")</f>
        <v>12 Jul – 18 Jul 2026</v>
      </c>
      <c r="C25" s="16" t="s">
        <v>123</v>
      </c>
      <c r="D25" s="16" t="s">
        <v>134</v>
      </c>
      <c r="E25" s="16" t="s">
        <v>116</v>
      </c>
      <c r="F25" s="16" t="s">
        <v>63</v>
      </c>
      <c r="G25" s="16" t="s">
        <v>125</v>
      </c>
    </row>
    <row r="26" ht="15.75" customHeight="1">
      <c r="A26" s="16" t="s">
        <v>73</v>
      </c>
      <c r="B26" s="16" t="str">
        <f t="array" ref="B26">IFERROR(INDEX(Lists!$B$2:$B$14,MATCH(A26,Lists!$A$2:$A$14,0)),"")</f>
        <v>12 Jul – 18 Jul 2026</v>
      </c>
      <c r="C26" s="16" t="s">
        <v>126</v>
      </c>
      <c r="D26" s="16" t="s">
        <v>135</v>
      </c>
      <c r="E26" s="16" t="s">
        <v>116</v>
      </c>
      <c r="F26" s="16" t="s">
        <v>63</v>
      </c>
      <c r="G26" s="16" t="s">
        <v>128</v>
      </c>
    </row>
    <row r="27" ht="15.75" customHeight="1">
      <c r="A27" s="16" t="s">
        <v>73</v>
      </c>
      <c r="B27" s="16" t="str">
        <f t="array" ref="B27">IFERROR(INDEX(Lists!$B$2:$B$14,MATCH(A27,Lists!$A$2:$A$14,0)),"")</f>
        <v>12 Jul – 18 Jul 2026</v>
      </c>
      <c r="C27" s="16" t="s">
        <v>129</v>
      </c>
      <c r="D27" s="16" t="s">
        <v>136</v>
      </c>
      <c r="E27" s="16" t="s">
        <v>116</v>
      </c>
      <c r="F27" s="16" t="s">
        <v>63</v>
      </c>
      <c r="G27" s="16" t="s">
        <v>131</v>
      </c>
    </row>
    <row r="28" ht="15.75" customHeight="1">
      <c r="A28" s="16" t="s">
        <v>73</v>
      </c>
      <c r="B28" s="16" t="str">
        <f t="array" ref="B28">IFERROR(INDEX(Lists!$B$2:$B$14,MATCH(A28,Lists!$A$2:$A$14,0)),"")</f>
        <v>12 Jul – 18 Jul 2026</v>
      </c>
      <c r="C28" s="16" t="s">
        <v>137</v>
      </c>
      <c r="D28" s="16" t="s">
        <v>138</v>
      </c>
      <c r="E28" s="16" t="s">
        <v>116</v>
      </c>
      <c r="F28" s="16" t="s">
        <v>63</v>
      </c>
      <c r="G28" s="16" t="s">
        <v>139</v>
      </c>
    </row>
    <row r="29" ht="15.75" customHeight="1">
      <c r="A29" s="16" t="s">
        <v>73</v>
      </c>
      <c r="B29" s="16" t="str">
        <f t="array" ref="B29">IFERROR(INDEX(Lists!$B$2:$B$14,MATCH(A29,Lists!$A$2:$A$14,0)),"")</f>
        <v>12 Jul – 18 Jul 2026</v>
      </c>
      <c r="C29" s="16" t="s">
        <v>140</v>
      </c>
      <c r="D29" s="16" t="s">
        <v>141</v>
      </c>
      <c r="E29" s="16" t="s">
        <v>116</v>
      </c>
      <c r="F29" s="16" t="s">
        <v>63</v>
      </c>
      <c r="G29" s="16" t="s">
        <v>142</v>
      </c>
    </row>
    <row r="30" ht="15.75" customHeight="1">
      <c r="A30" s="16" t="s">
        <v>73</v>
      </c>
      <c r="B30" s="16" t="str">
        <f t="array" ref="B30">IFERROR(INDEX(Lists!$B$2:$B$14,MATCH(A30,Lists!$A$2:$A$14,0)),"")</f>
        <v>12 Jul – 18 Jul 2026</v>
      </c>
      <c r="C30" s="16" t="s">
        <v>140</v>
      </c>
      <c r="D30" s="16" t="s">
        <v>143</v>
      </c>
      <c r="E30" s="16" t="s">
        <v>116</v>
      </c>
      <c r="F30" s="16" t="s">
        <v>63</v>
      </c>
      <c r="G30" s="16" t="s">
        <v>144</v>
      </c>
    </row>
    <row r="31" ht="15.75" customHeight="1">
      <c r="A31" s="16" t="s">
        <v>73</v>
      </c>
      <c r="B31" s="16" t="str">
        <f t="array" ref="B31">IFERROR(INDEX(Lists!$B$2:$B$14,MATCH(A31,Lists!$A$2:$A$14,0)),"")</f>
        <v>12 Jul – 18 Jul 2026</v>
      </c>
      <c r="C31" s="16" t="s">
        <v>140</v>
      </c>
      <c r="D31" s="16" t="s">
        <v>145</v>
      </c>
      <c r="E31" s="16" t="s">
        <v>116</v>
      </c>
      <c r="F31" s="16" t="s">
        <v>146</v>
      </c>
      <c r="G31" s="16" t="s">
        <v>147</v>
      </c>
    </row>
    <row r="32" ht="15.75" customHeight="1">
      <c r="A32" s="16" t="s">
        <v>73</v>
      </c>
      <c r="B32" s="16" t="str">
        <f t="array" ref="B32">IFERROR(INDEX(Lists!$B$2:$B$14,MATCH(A32,Lists!$A$2:$A$14,0)),"")</f>
        <v>12 Jul – 18 Jul 2026</v>
      </c>
      <c r="C32" s="16" t="s">
        <v>148</v>
      </c>
      <c r="D32" s="16" t="s">
        <v>149</v>
      </c>
      <c r="E32" s="16" t="s">
        <v>116</v>
      </c>
      <c r="F32" s="16" t="s">
        <v>63</v>
      </c>
      <c r="G32" s="16" t="s">
        <v>150</v>
      </c>
    </row>
    <row r="33" ht="15.75" customHeight="1">
      <c r="A33" s="16" t="s">
        <v>73</v>
      </c>
      <c r="B33" s="16" t="str">
        <f t="array" ref="B33">IFERROR(INDEX(Lists!$B$2:$B$14,MATCH(A33,Lists!$A$2:$A$14,0)),"")</f>
        <v>12 Jul – 18 Jul 2026</v>
      </c>
      <c r="C33" s="16" t="s">
        <v>151</v>
      </c>
      <c r="D33" s="16" t="s">
        <v>152</v>
      </c>
      <c r="E33" s="16" t="s">
        <v>116</v>
      </c>
      <c r="F33" s="16" t="s">
        <v>63</v>
      </c>
      <c r="G33" s="16" t="s">
        <v>153</v>
      </c>
    </row>
    <row r="34" ht="15.75" customHeight="1">
      <c r="A34" s="16" t="s">
        <v>86</v>
      </c>
      <c r="B34" s="16" t="str">
        <f t="array" ref="B34">IFERROR(INDEX(Lists!$B$2:$B$14,MATCH(A34,Lists!$A$2:$A$14,0)),"")</f>
        <v>19 Jul – 25 Jul 2026</v>
      </c>
      <c r="C34" s="16" t="s">
        <v>84</v>
      </c>
      <c r="D34" s="16" t="s">
        <v>115</v>
      </c>
      <c r="E34" s="16" t="s">
        <v>116</v>
      </c>
      <c r="F34" s="16" t="s">
        <v>63</v>
      </c>
      <c r="G34" s="16" t="s">
        <v>155</v>
      </c>
    </row>
    <row r="35" ht="15.75" customHeight="1">
      <c r="A35" s="16" t="s">
        <v>86</v>
      </c>
      <c r="B35" s="16" t="str">
        <f t="array" ref="B35">IFERROR(INDEX(Lists!$B$2:$B$14,MATCH(A35,Lists!$A$2:$A$14,0)),"")</f>
        <v>19 Jul – 25 Jul 2026</v>
      </c>
      <c r="C35" s="16" t="s">
        <v>84</v>
      </c>
      <c r="D35" s="16" t="s">
        <v>118</v>
      </c>
      <c r="E35" s="16" t="s">
        <v>116</v>
      </c>
      <c r="F35" s="16" t="s">
        <v>63</v>
      </c>
      <c r="G35" s="16" t="s">
        <v>119</v>
      </c>
    </row>
    <row r="36" ht="15.75" customHeight="1">
      <c r="A36" s="16" t="s">
        <v>86</v>
      </c>
      <c r="B36" s="16" t="str">
        <f t="array" ref="B36">IFERROR(INDEX(Lists!$B$2:$B$14,MATCH(A36,Lists!$A$2:$A$14,0)),"")</f>
        <v>19 Jul – 25 Jul 2026</v>
      </c>
      <c r="C36" s="16" t="s">
        <v>120</v>
      </c>
      <c r="D36" s="16" t="s">
        <v>121</v>
      </c>
      <c r="E36" s="16" t="s">
        <v>116</v>
      </c>
      <c r="F36" s="16" t="s">
        <v>63</v>
      </c>
      <c r="G36" s="16" t="s">
        <v>122</v>
      </c>
    </row>
    <row r="37" ht="15.75" customHeight="1">
      <c r="A37" s="16" t="s">
        <v>86</v>
      </c>
      <c r="B37" s="16" t="str">
        <f t="array" ref="B37">IFERROR(INDEX(Lists!$B$2:$B$14,MATCH(A37,Lists!$A$2:$A$14,0)),"")</f>
        <v>19 Jul – 25 Jul 2026</v>
      </c>
      <c r="C37" s="16" t="s">
        <v>123</v>
      </c>
      <c r="D37" s="16" t="s">
        <v>124</v>
      </c>
      <c r="E37" s="16" t="s">
        <v>116</v>
      </c>
      <c r="F37" s="16" t="s">
        <v>63</v>
      </c>
      <c r="G37" s="16" t="s">
        <v>125</v>
      </c>
    </row>
    <row r="38" ht="15.75" customHeight="1">
      <c r="A38" s="16" t="s">
        <v>86</v>
      </c>
      <c r="B38" s="16" t="str">
        <f t="array" ref="B38">IFERROR(INDEX(Lists!$B$2:$B$14,MATCH(A38,Lists!$A$2:$A$14,0)),"")</f>
        <v>19 Jul – 25 Jul 2026</v>
      </c>
      <c r="C38" s="16" t="s">
        <v>126</v>
      </c>
      <c r="D38" s="16" t="s">
        <v>127</v>
      </c>
      <c r="E38" s="16" t="s">
        <v>116</v>
      </c>
      <c r="F38" s="16" t="s">
        <v>63</v>
      </c>
      <c r="G38" s="16" t="s">
        <v>128</v>
      </c>
    </row>
    <row r="39" ht="15.75" customHeight="1">
      <c r="A39" s="16" t="s">
        <v>86</v>
      </c>
      <c r="B39" s="16" t="str">
        <f t="array" ref="B39">IFERROR(INDEX(Lists!$B$2:$B$14,MATCH(A39,Lists!$A$2:$A$14,0)),"")</f>
        <v>19 Jul – 25 Jul 2026</v>
      </c>
      <c r="C39" s="16" t="s">
        <v>129</v>
      </c>
      <c r="D39" s="16" t="s">
        <v>130</v>
      </c>
      <c r="E39" s="16" t="s">
        <v>116</v>
      </c>
      <c r="F39" s="16" t="s">
        <v>63</v>
      </c>
      <c r="G39" s="16" t="s">
        <v>131</v>
      </c>
    </row>
    <row r="40" ht="15.75" customHeight="1">
      <c r="A40" s="16" t="s">
        <v>86</v>
      </c>
      <c r="B40" s="16" t="str">
        <f t="array" ref="B40">IFERROR(INDEX(Lists!$B$2:$B$14,MATCH(A40,Lists!$A$2:$A$14,0)),"")</f>
        <v>19 Jul – 25 Jul 2026</v>
      </c>
      <c r="C40" s="16" t="s">
        <v>120</v>
      </c>
      <c r="D40" s="16" t="s">
        <v>132</v>
      </c>
      <c r="E40" s="16" t="s">
        <v>116</v>
      </c>
      <c r="F40" s="16" t="s">
        <v>63</v>
      </c>
      <c r="G40" s="16" t="s">
        <v>133</v>
      </c>
    </row>
    <row r="41" ht="15.75" customHeight="1">
      <c r="A41" s="16" t="s">
        <v>86</v>
      </c>
      <c r="B41" s="16" t="str">
        <f t="array" ref="B41">IFERROR(INDEX(Lists!$B$2:$B$14,MATCH(A41,Lists!$A$2:$A$14,0)),"")</f>
        <v>19 Jul – 25 Jul 2026</v>
      </c>
      <c r="C41" s="16" t="s">
        <v>123</v>
      </c>
      <c r="D41" s="16" t="s">
        <v>134</v>
      </c>
      <c r="E41" s="16" t="s">
        <v>116</v>
      </c>
      <c r="F41" s="16" t="s">
        <v>63</v>
      </c>
      <c r="G41" s="16" t="s">
        <v>125</v>
      </c>
    </row>
    <row r="42" ht="15.75" customHeight="1">
      <c r="A42" s="16" t="s">
        <v>86</v>
      </c>
      <c r="B42" s="16" t="str">
        <f t="array" ref="B42">IFERROR(INDEX(Lists!$B$2:$B$14,MATCH(A42,Lists!$A$2:$A$14,0)),"")</f>
        <v>19 Jul – 25 Jul 2026</v>
      </c>
      <c r="C42" s="16" t="s">
        <v>126</v>
      </c>
      <c r="D42" s="16" t="s">
        <v>135</v>
      </c>
      <c r="E42" s="16" t="s">
        <v>116</v>
      </c>
      <c r="F42" s="16" t="s">
        <v>63</v>
      </c>
      <c r="G42" s="16" t="s">
        <v>128</v>
      </c>
    </row>
    <row r="43" ht="15.75" customHeight="1">
      <c r="A43" s="16" t="s">
        <v>86</v>
      </c>
      <c r="B43" s="16" t="str">
        <f t="array" ref="B43">IFERROR(INDEX(Lists!$B$2:$B$14,MATCH(A43,Lists!$A$2:$A$14,0)),"")</f>
        <v>19 Jul – 25 Jul 2026</v>
      </c>
      <c r="C43" s="16" t="s">
        <v>129</v>
      </c>
      <c r="D43" s="16" t="s">
        <v>136</v>
      </c>
      <c r="E43" s="16" t="s">
        <v>116</v>
      </c>
      <c r="F43" s="16" t="s">
        <v>63</v>
      </c>
      <c r="G43" s="16" t="s">
        <v>131</v>
      </c>
    </row>
    <row r="44" ht="15.75" customHeight="1">
      <c r="A44" s="16" t="s">
        <v>86</v>
      </c>
      <c r="B44" s="16" t="str">
        <f t="array" ref="B44">IFERROR(INDEX(Lists!$B$2:$B$14,MATCH(A44,Lists!$A$2:$A$14,0)),"")</f>
        <v>19 Jul – 25 Jul 2026</v>
      </c>
      <c r="C44" s="16" t="s">
        <v>137</v>
      </c>
      <c r="D44" s="16" t="s">
        <v>138</v>
      </c>
      <c r="E44" s="16" t="s">
        <v>116</v>
      </c>
      <c r="F44" s="16" t="s">
        <v>63</v>
      </c>
      <c r="G44" s="16" t="s">
        <v>139</v>
      </c>
    </row>
    <row r="45" ht="15.75" customHeight="1">
      <c r="A45" s="16" t="s">
        <v>86</v>
      </c>
      <c r="B45" s="16" t="str">
        <f t="array" ref="B45">IFERROR(INDEX(Lists!$B$2:$B$14,MATCH(A45,Lists!$A$2:$A$14,0)),"")</f>
        <v>19 Jul – 25 Jul 2026</v>
      </c>
      <c r="C45" s="16" t="s">
        <v>140</v>
      </c>
      <c r="D45" s="16" t="s">
        <v>141</v>
      </c>
      <c r="E45" s="16" t="s">
        <v>116</v>
      </c>
      <c r="F45" s="16" t="s">
        <v>63</v>
      </c>
      <c r="G45" s="16" t="s">
        <v>142</v>
      </c>
    </row>
    <row r="46" ht="15.75" customHeight="1">
      <c r="A46" s="16" t="s">
        <v>86</v>
      </c>
      <c r="B46" s="16" t="str">
        <f t="array" ref="B46">IFERROR(INDEX(Lists!$B$2:$B$14,MATCH(A46,Lists!$A$2:$A$14,0)),"")</f>
        <v>19 Jul – 25 Jul 2026</v>
      </c>
      <c r="C46" s="16" t="s">
        <v>140</v>
      </c>
      <c r="D46" s="16" t="s">
        <v>143</v>
      </c>
      <c r="E46" s="16" t="s">
        <v>116</v>
      </c>
      <c r="F46" s="16" t="s">
        <v>63</v>
      </c>
      <c r="G46" s="16" t="s">
        <v>144</v>
      </c>
    </row>
    <row r="47" ht="15.75" customHeight="1">
      <c r="A47" s="16" t="s">
        <v>86</v>
      </c>
      <c r="B47" s="16" t="str">
        <f t="array" ref="B47">IFERROR(INDEX(Lists!$B$2:$B$14,MATCH(A47,Lists!$A$2:$A$14,0)),"")</f>
        <v>19 Jul – 25 Jul 2026</v>
      </c>
      <c r="C47" s="16" t="s">
        <v>140</v>
      </c>
      <c r="D47" s="16" t="s">
        <v>145</v>
      </c>
      <c r="E47" s="16" t="s">
        <v>116</v>
      </c>
      <c r="F47" s="16" t="s">
        <v>146</v>
      </c>
      <c r="G47" s="16" t="s">
        <v>147</v>
      </c>
    </row>
    <row r="48" ht="15.75" customHeight="1">
      <c r="A48" s="16" t="s">
        <v>86</v>
      </c>
      <c r="B48" s="16" t="str">
        <f t="array" ref="B48">IFERROR(INDEX(Lists!$B$2:$B$14,MATCH(A48,Lists!$A$2:$A$14,0)),"")</f>
        <v>19 Jul – 25 Jul 2026</v>
      </c>
      <c r="C48" s="16" t="s">
        <v>148</v>
      </c>
      <c r="D48" s="16" t="s">
        <v>149</v>
      </c>
      <c r="E48" s="16" t="s">
        <v>116</v>
      </c>
      <c r="F48" s="16" t="s">
        <v>63</v>
      </c>
      <c r="G48" s="16" t="s">
        <v>150</v>
      </c>
    </row>
    <row r="49" ht="15.75" customHeight="1">
      <c r="A49" s="16" t="s">
        <v>86</v>
      </c>
      <c r="B49" s="16" t="str">
        <f t="array" ref="B49">IFERROR(INDEX(Lists!$B$2:$B$14,MATCH(A49,Lists!$A$2:$A$14,0)),"")</f>
        <v>19 Jul – 25 Jul 2026</v>
      </c>
      <c r="C49" s="16" t="s">
        <v>151</v>
      </c>
      <c r="D49" s="16" t="s">
        <v>152</v>
      </c>
      <c r="E49" s="16" t="s">
        <v>116</v>
      </c>
      <c r="F49" s="16" t="s">
        <v>63</v>
      </c>
      <c r="G49" s="16" t="s">
        <v>153</v>
      </c>
    </row>
    <row r="50" ht="15.75" customHeight="1">
      <c r="A50" s="16" t="s">
        <v>91</v>
      </c>
      <c r="B50" s="16" t="str">
        <f t="array" ref="B50">IFERROR(INDEX(Lists!$B$2:$B$14,MATCH(A50,Lists!$A$2:$A$14,0)),"")</f>
        <v>26 Jul – 01 Aug 2026</v>
      </c>
      <c r="C50" s="16" t="s">
        <v>84</v>
      </c>
      <c r="D50" s="16" t="s">
        <v>115</v>
      </c>
      <c r="E50" s="16" t="s">
        <v>116</v>
      </c>
      <c r="F50" s="16" t="s">
        <v>63</v>
      </c>
      <c r="G50" s="16" t="s">
        <v>156</v>
      </c>
    </row>
    <row r="51" ht="15.75" customHeight="1">
      <c r="A51" s="16" t="s">
        <v>91</v>
      </c>
      <c r="B51" s="16" t="str">
        <f t="array" ref="B51">IFERROR(INDEX(Lists!$B$2:$B$14,MATCH(A51,Lists!$A$2:$A$14,0)),"")</f>
        <v>26 Jul – 01 Aug 2026</v>
      </c>
      <c r="C51" s="16" t="s">
        <v>84</v>
      </c>
      <c r="D51" s="16" t="s">
        <v>118</v>
      </c>
      <c r="E51" s="16" t="s">
        <v>116</v>
      </c>
      <c r="F51" s="16" t="s">
        <v>63</v>
      </c>
      <c r="G51" s="16" t="s">
        <v>119</v>
      </c>
    </row>
    <row r="52" ht="15.75" customHeight="1">
      <c r="A52" s="16" t="s">
        <v>91</v>
      </c>
      <c r="B52" s="16" t="str">
        <f t="array" ref="B52">IFERROR(INDEX(Lists!$B$2:$B$14,MATCH(A52,Lists!$A$2:$A$14,0)),"")</f>
        <v>26 Jul – 01 Aug 2026</v>
      </c>
      <c r="C52" s="16" t="s">
        <v>120</v>
      </c>
      <c r="D52" s="16" t="s">
        <v>121</v>
      </c>
      <c r="E52" s="16" t="s">
        <v>116</v>
      </c>
      <c r="F52" s="16" t="s">
        <v>63</v>
      </c>
      <c r="G52" s="16" t="s">
        <v>122</v>
      </c>
    </row>
    <row r="53" ht="15.75" customHeight="1">
      <c r="A53" s="16" t="s">
        <v>91</v>
      </c>
      <c r="B53" s="16" t="str">
        <f t="array" ref="B53">IFERROR(INDEX(Lists!$B$2:$B$14,MATCH(A53,Lists!$A$2:$A$14,0)),"")</f>
        <v>26 Jul – 01 Aug 2026</v>
      </c>
      <c r="C53" s="16" t="s">
        <v>123</v>
      </c>
      <c r="D53" s="16" t="s">
        <v>124</v>
      </c>
      <c r="E53" s="16" t="s">
        <v>116</v>
      </c>
      <c r="F53" s="16" t="s">
        <v>63</v>
      </c>
      <c r="G53" s="16" t="s">
        <v>125</v>
      </c>
    </row>
    <row r="54" ht="15.75" customHeight="1">
      <c r="A54" s="16" t="s">
        <v>91</v>
      </c>
      <c r="B54" s="16" t="str">
        <f t="array" ref="B54">IFERROR(INDEX(Lists!$B$2:$B$14,MATCH(A54,Lists!$A$2:$A$14,0)),"")</f>
        <v>26 Jul – 01 Aug 2026</v>
      </c>
      <c r="C54" s="16" t="s">
        <v>126</v>
      </c>
      <c r="D54" s="16" t="s">
        <v>127</v>
      </c>
      <c r="E54" s="16" t="s">
        <v>116</v>
      </c>
      <c r="F54" s="16" t="s">
        <v>63</v>
      </c>
      <c r="G54" s="16" t="s">
        <v>128</v>
      </c>
    </row>
    <row r="55" ht="15.75" customHeight="1">
      <c r="A55" s="16" t="s">
        <v>91</v>
      </c>
      <c r="B55" s="16" t="str">
        <f t="array" ref="B55">IFERROR(INDEX(Lists!$B$2:$B$14,MATCH(A55,Lists!$A$2:$A$14,0)),"")</f>
        <v>26 Jul – 01 Aug 2026</v>
      </c>
      <c r="C55" s="16" t="s">
        <v>129</v>
      </c>
      <c r="D55" s="16" t="s">
        <v>130</v>
      </c>
      <c r="E55" s="16" t="s">
        <v>116</v>
      </c>
      <c r="F55" s="16" t="s">
        <v>63</v>
      </c>
      <c r="G55" s="16" t="s">
        <v>131</v>
      </c>
    </row>
    <row r="56" ht="15.75" customHeight="1">
      <c r="A56" s="16" t="s">
        <v>91</v>
      </c>
      <c r="B56" s="16" t="str">
        <f t="array" ref="B56">IFERROR(INDEX(Lists!$B$2:$B$14,MATCH(A56,Lists!$A$2:$A$14,0)),"")</f>
        <v>26 Jul – 01 Aug 2026</v>
      </c>
      <c r="C56" s="16" t="s">
        <v>120</v>
      </c>
      <c r="D56" s="16" t="s">
        <v>132</v>
      </c>
      <c r="E56" s="16" t="s">
        <v>116</v>
      </c>
      <c r="F56" s="16" t="s">
        <v>63</v>
      </c>
      <c r="G56" s="16" t="s">
        <v>133</v>
      </c>
    </row>
    <row r="57" ht="15.75" customHeight="1">
      <c r="A57" s="16" t="s">
        <v>91</v>
      </c>
      <c r="B57" s="16" t="str">
        <f t="array" ref="B57">IFERROR(INDEX(Lists!$B$2:$B$14,MATCH(A57,Lists!$A$2:$A$14,0)),"")</f>
        <v>26 Jul – 01 Aug 2026</v>
      </c>
      <c r="C57" s="16" t="s">
        <v>123</v>
      </c>
      <c r="D57" s="16" t="s">
        <v>134</v>
      </c>
      <c r="E57" s="16" t="s">
        <v>116</v>
      </c>
      <c r="F57" s="16" t="s">
        <v>63</v>
      </c>
      <c r="G57" s="16" t="s">
        <v>125</v>
      </c>
    </row>
    <row r="58" ht="15.75" customHeight="1">
      <c r="A58" s="16" t="s">
        <v>91</v>
      </c>
      <c r="B58" s="16" t="str">
        <f t="array" ref="B58">IFERROR(INDEX(Lists!$B$2:$B$14,MATCH(A58,Lists!$A$2:$A$14,0)),"")</f>
        <v>26 Jul – 01 Aug 2026</v>
      </c>
      <c r="C58" s="16" t="s">
        <v>126</v>
      </c>
      <c r="D58" s="16" t="s">
        <v>135</v>
      </c>
      <c r="E58" s="16" t="s">
        <v>116</v>
      </c>
      <c r="F58" s="16" t="s">
        <v>63</v>
      </c>
      <c r="G58" s="16" t="s">
        <v>128</v>
      </c>
    </row>
    <row r="59" ht="15.75" customHeight="1">
      <c r="A59" s="16" t="s">
        <v>91</v>
      </c>
      <c r="B59" s="16" t="str">
        <f t="array" ref="B59">IFERROR(INDEX(Lists!$B$2:$B$14,MATCH(A59,Lists!$A$2:$A$14,0)),"")</f>
        <v>26 Jul – 01 Aug 2026</v>
      </c>
      <c r="C59" s="16" t="s">
        <v>129</v>
      </c>
      <c r="D59" s="16" t="s">
        <v>136</v>
      </c>
      <c r="E59" s="16" t="s">
        <v>116</v>
      </c>
      <c r="F59" s="16" t="s">
        <v>63</v>
      </c>
      <c r="G59" s="16" t="s">
        <v>131</v>
      </c>
    </row>
    <row r="60" ht="15.75" customHeight="1">
      <c r="A60" s="16" t="s">
        <v>91</v>
      </c>
      <c r="B60" s="16" t="str">
        <f t="array" ref="B60">IFERROR(INDEX(Lists!$B$2:$B$14,MATCH(A60,Lists!$A$2:$A$14,0)),"")</f>
        <v>26 Jul – 01 Aug 2026</v>
      </c>
      <c r="C60" s="16" t="s">
        <v>137</v>
      </c>
      <c r="D60" s="16" t="s">
        <v>138</v>
      </c>
      <c r="E60" s="16" t="s">
        <v>116</v>
      </c>
      <c r="F60" s="16" t="s">
        <v>63</v>
      </c>
      <c r="G60" s="16" t="s">
        <v>139</v>
      </c>
    </row>
    <row r="61" ht="15.75" customHeight="1">
      <c r="A61" s="16" t="s">
        <v>91</v>
      </c>
      <c r="B61" s="16" t="str">
        <f t="array" ref="B61">IFERROR(INDEX(Lists!$B$2:$B$14,MATCH(A61,Lists!$A$2:$A$14,0)),"")</f>
        <v>26 Jul – 01 Aug 2026</v>
      </c>
      <c r="C61" s="16" t="s">
        <v>140</v>
      </c>
      <c r="D61" s="16" t="s">
        <v>141</v>
      </c>
      <c r="E61" s="16" t="s">
        <v>116</v>
      </c>
      <c r="F61" s="16" t="s">
        <v>63</v>
      </c>
      <c r="G61" s="16" t="s">
        <v>142</v>
      </c>
    </row>
    <row r="62" ht="15.75" customHeight="1">
      <c r="A62" s="16" t="s">
        <v>91</v>
      </c>
      <c r="B62" s="16" t="str">
        <f t="array" ref="B62">IFERROR(INDEX(Lists!$B$2:$B$14,MATCH(A62,Lists!$A$2:$A$14,0)),"")</f>
        <v>26 Jul – 01 Aug 2026</v>
      </c>
      <c r="C62" s="16" t="s">
        <v>140</v>
      </c>
      <c r="D62" s="16" t="s">
        <v>143</v>
      </c>
      <c r="E62" s="16" t="s">
        <v>116</v>
      </c>
      <c r="F62" s="16" t="s">
        <v>63</v>
      </c>
      <c r="G62" s="16" t="s">
        <v>144</v>
      </c>
    </row>
    <row r="63" ht="15.75" customHeight="1">
      <c r="A63" s="16" t="s">
        <v>91</v>
      </c>
      <c r="B63" s="16" t="str">
        <f t="array" ref="B63">IFERROR(INDEX(Lists!$B$2:$B$14,MATCH(A63,Lists!$A$2:$A$14,0)),"")</f>
        <v>26 Jul – 01 Aug 2026</v>
      </c>
      <c r="C63" s="16" t="s">
        <v>140</v>
      </c>
      <c r="D63" s="16" t="s">
        <v>145</v>
      </c>
      <c r="E63" s="16" t="s">
        <v>116</v>
      </c>
      <c r="F63" s="16" t="s">
        <v>146</v>
      </c>
      <c r="G63" s="16" t="s">
        <v>147</v>
      </c>
    </row>
    <row r="64" ht="15.75" customHeight="1">
      <c r="A64" s="16" t="s">
        <v>91</v>
      </c>
      <c r="B64" s="16" t="str">
        <f t="array" ref="B64">IFERROR(INDEX(Lists!$B$2:$B$14,MATCH(A64,Lists!$A$2:$A$14,0)),"")</f>
        <v>26 Jul – 01 Aug 2026</v>
      </c>
      <c r="C64" s="16" t="s">
        <v>148</v>
      </c>
      <c r="D64" s="16" t="s">
        <v>149</v>
      </c>
      <c r="E64" s="16" t="s">
        <v>116</v>
      </c>
      <c r="F64" s="16" t="s">
        <v>63</v>
      </c>
      <c r="G64" s="16" t="s">
        <v>150</v>
      </c>
    </row>
    <row r="65" ht="15.75" customHeight="1">
      <c r="A65" s="16" t="s">
        <v>91</v>
      </c>
      <c r="B65" s="16" t="str">
        <f t="array" ref="B65">IFERROR(INDEX(Lists!$B$2:$B$14,MATCH(A65,Lists!$A$2:$A$14,0)),"")</f>
        <v>26 Jul – 01 Aug 2026</v>
      </c>
      <c r="C65" s="16" t="s">
        <v>151</v>
      </c>
      <c r="D65" s="16" t="s">
        <v>152</v>
      </c>
      <c r="E65" s="16" t="s">
        <v>116</v>
      </c>
      <c r="F65" s="16" t="s">
        <v>63</v>
      </c>
      <c r="G65" s="16" t="s">
        <v>153</v>
      </c>
    </row>
    <row r="66" ht="15.75" customHeight="1">
      <c r="A66" s="16" t="s">
        <v>96</v>
      </c>
      <c r="B66" s="16" t="str">
        <f t="array" ref="B66">IFERROR(INDEX(Lists!$B$2:$B$14,MATCH(A66,Lists!$A$2:$A$14,0)),"")</f>
        <v>02 Aug – 08 Aug 2026</v>
      </c>
      <c r="C66" s="16" t="s">
        <v>84</v>
      </c>
      <c r="D66" s="16" t="s">
        <v>115</v>
      </c>
      <c r="E66" s="16" t="s">
        <v>116</v>
      </c>
      <c r="F66" s="16" t="s">
        <v>63</v>
      </c>
      <c r="G66" s="16" t="s">
        <v>157</v>
      </c>
    </row>
    <row r="67" ht="15.75" customHeight="1">
      <c r="A67" s="16" t="s">
        <v>96</v>
      </c>
      <c r="B67" s="16" t="str">
        <f t="array" ref="B67">IFERROR(INDEX(Lists!$B$2:$B$14,MATCH(A67,Lists!$A$2:$A$14,0)),"")</f>
        <v>02 Aug – 08 Aug 2026</v>
      </c>
      <c r="C67" s="16" t="s">
        <v>84</v>
      </c>
      <c r="D67" s="16" t="s">
        <v>118</v>
      </c>
      <c r="E67" s="16" t="s">
        <v>116</v>
      </c>
      <c r="F67" s="16" t="s">
        <v>63</v>
      </c>
      <c r="G67" s="16" t="s">
        <v>119</v>
      </c>
    </row>
    <row r="68" ht="15.75" customHeight="1">
      <c r="A68" s="16" t="s">
        <v>96</v>
      </c>
      <c r="B68" s="16" t="str">
        <f t="array" ref="B68">IFERROR(INDEX(Lists!$B$2:$B$14,MATCH(A68,Lists!$A$2:$A$14,0)),"")</f>
        <v>02 Aug – 08 Aug 2026</v>
      </c>
      <c r="C68" s="16" t="s">
        <v>120</v>
      </c>
      <c r="D68" s="16" t="s">
        <v>121</v>
      </c>
      <c r="E68" s="16" t="s">
        <v>116</v>
      </c>
      <c r="F68" s="16" t="s">
        <v>63</v>
      </c>
      <c r="G68" s="16" t="s">
        <v>122</v>
      </c>
    </row>
    <row r="69" ht="15.75" customHeight="1">
      <c r="A69" s="16" t="s">
        <v>96</v>
      </c>
      <c r="B69" s="16" t="str">
        <f t="array" ref="B69">IFERROR(INDEX(Lists!$B$2:$B$14,MATCH(A69,Lists!$A$2:$A$14,0)),"")</f>
        <v>02 Aug – 08 Aug 2026</v>
      </c>
      <c r="C69" s="16" t="s">
        <v>123</v>
      </c>
      <c r="D69" s="16" t="s">
        <v>124</v>
      </c>
      <c r="E69" s="16" t="s">
        <v>116</v>
      </c>
      <c r="F69" s="16" t="s">
        <v>63</v>
      </c>
      <c r="G69" s="16" t="s">
        <v>125</v>
      </c>
    </row>
    <row r="70" ht="15.75" customHeight="1">
      <c r="A70" s="16" t="s">
        <v>96</v>
      </c>
      <c r="B70" s="16" t="str">
        <f t="array" ref="B70">IFERROR(INDEX(Lists!$B$2:$B$14,MATCH(A70,Lists!$A$2:$A$14,0)),"")</f>
        <v>02 Aug – 08 Aug 2026</v>
      </c>
      <c r="C70" s="16" t="s">
        <v>126</v>
      </c>
      <c r="D70" s="16" t="s">
        <v>127</v>
      </c>
      <c r="E70" s="16" t="s">
        <v>116</v>
      </c>
      <c r="F70" s="16" t="s">
        <v>63</v>
      </c>
      <c r="G70" s="16" t="s">
        <v>128</v>
      </c>
    </row>
    <row r="71" ht="15.75" customHeight="1">
      <c r="A71" s="16" t="s">
        <v>96</v>
      </c>
      <c r="B71" s="16" t="str">
        <f t="array" ref="B71">IFERROR(INDEX(Lists!$B$2:$B$14,MATCH(A71,Lists!$A$2:$A$14,0)),"")</f>
        <v>02 Aug – 08 Aug 2026</v>
      </c>
      <c r="C71" s="16" t="s">
        <v>129</v>
      </c>
      <c r="D71" s="16" t="s">
        <v>130</v>
      </c>
      <c r="E71" s="16" t="s">
        <v>116</v>
      </c>
      <c r="F71" s="16" t="s">
        <v>63</v>
      </c>
      <c r="G71" s="16" t="s">
        <v>131</v>
      </c>
    </row>
    <row r="72" ht="15.75" customHeight="1">
      <c r="A72" s="16" t="s">
        <v>96</v>
      </c>
      <c r="B72" s="16" t="str">
        <f t="array" ref="B72">IFERROR(INDEX(Lists!$B$2:$B$14,MATCH(A72,Lists!$A$2:$A$14,0)),"")</f>
        <v>02 Aug – 08 Aug 2026</v>
      </c>
      <c r="C72" s="16" t="s">
        <v>120</v>
      </c>
      <c r="D72" s="16" t="s">
        <v>132</v>
      </c>
      <c r="E72" s="16" t="s">
        <v>116</v>
      </c>
      <c r="F72" s="16" t="s">
        <v>63</v>
      </c>
      <c r="G72" s="16" t="s">
        <v>133</v>
      </c>
    </row>
    <row r="73" ht="15.75" customHeight="1">
      <c r="A73" s="16" t="s">
        <v>96</v>
      </c>
      <c r="B73" s="16" t="str">
        <f t="array" ref="B73">IFERROR(INDEX(Lists!$B$2:$B$14,MATCH(A73,Lists!$A$2:$A$14,0)),"")</f>
        <v>02 Aug – 08 Aug 2026</v>
      </c>
      <c r="C73" s="16" t="s">
        <v>123</v>
      </c>
      <c r="D73" s="16" t="s">
        <v>134</v>
      </c>
      <c r="E73" s="16" t="s">
        <v>116</v>
      </c>
      <c r="F73" s="16" t="s">
        <v>63</v>
      </c>
      <c r="G73" s="16" t="s">
        <v>125</v>
      </c>
    </row>
    <row r="74" ht="15.75" customHeight="1">
      <c r="A74" s="16" t="s">
        <v>96</v>
      </c>
      <c r="B74" s="16" t="str">
        <f t="array" ref="B74">IFERROR(INDEX(Lists!$B$2:$B$14,MATCH(A74,Lists!$A$2:$A$14,0)),"")</f>
        <v>02 Aug – 08 Aug 2026</v>
      </c>
      <c r="C74" s="16" t="s">
        <v>126</v>
      </c>
      <c r="D74" s="16" t="s">
        <v>135</v>
      </c>
      <c r="E74" s="16" t="s">
        <v>116</v>
      </c>
      <c r="F74" s="16" t="s">
        <v>63</v>
      </c>
      <c r="G74" s="16" t="s">
        <v>128</v>
      </c>
    </row>
    <row r="75" ht="15.75" customHeight="1">
      <c r="A75" s="16" t="s">
        <v>96</v>
      </c>
      <c r="B75" s="16" t="str">
        <f t="array" ref="B75">IFERROR(INDEX(Lists!$B$2:$B$14,MATCH(A75,Lists!$A$2:$A$14,0)),"")</f>
        <v>02 Aug – 08 Aug 2026</v>
      </c>
      <c r="C75" s="16" t="s">
        <v>129</v>
      </c>
      <c r="D75" s="16" t="s">
        <v>136</v>
      </c>
      <c r="E75" s="16" t="s">
        <v>116</v>
      </c>
      <c r="F75" s="16" t="s">
        <v>63</v>
      </c>
      <c r="G75" s="16" t="s">
        <v>131</v>
      </c>
    </row>
    <row r="76" ht="15.75" customHeight="1">
      <c r="A76" s="16" t="s">
        <v>96</v>
      </c>
      <c r="B76" s="16" t="str">
        <f t="array" ref="B76">IFERROR(INDEX(Lists!$B$2:$B$14,MATCH(A76,Lists!$A$2:$A$14,0)),"")</f>
        <v>02 Aug – 08 Aug 2026</v>
      </c>
      <c r="C76" s="16" t="s">
        <v>137</v>
      </c>
      <c r="D76" s="16" t="s">
        <v>138</v>
      </c>
      <c r="E76" s="16" t="s">
        <v>116</v>
      </c>
      <c r="F76" s="16" t="s">
        <v>63</v>
      </c>
      <c r="G76" s="16" t="s">
        <v>139</v>
      </c>
    </row>
    <row r="77" ht="15.75" customHeight="1">
      <c r="A77" s="16" t="s">
        <v>96</v>
      </c>
      <c r="B77" s="16" t="str">
        <f t="array" ref="B77">IFERROR(INDEX(Lists!$B$2:$B$14,MATCH(A77,Lists!$A$2:$A$14,0)),"")</f>
        <v>02 Aug – 08 Aug 2026</v>
      </c>
      <c r="C77" s="16" t="s">
        <v>140</v>
      </c>
      <c r="D77" s="16" t="s">
        <v>141</v>
      </c>
      <c r="E77" s="16" t="s">
        <v>116</v>
      </c>
      <c r="F77" s="16" t="s">
        <v>63</v>
      </c>
      <c r="G77" s="16" t="s">
        <v>142</v>
      </c>
    </row>
    <row r="78" ht="15.75" customHeight="1">
      <c r="A78" s="16" t="s">
        <v>96</v>
      </c>
      <c r="B78" s="16" t="str">
        <f t="array" ref="B78">IFERROR(INDEX(Lists!$B$2:$B$14,MATCH(A78,Lists!$A$2:$A$14,0)),"")</f>
        <v>02 Aug – 08 Aug 2026</v>
      </c>
      <c r="C78" s="16" t="s">
        <v>140</v>
      </c>
      <c r="D78" s="16" t="s">
        <v>143</v>
      </c>
      <c r="E78" s="16" t="s">
        <v>116</v>
      </c>
      <c r="F78" s="16" t="s">
        <v>63</v>
      </c>
      <c r="G78" s="16" t="s">
        <v>144</v>
      </c>
    </row>
    <row r="79" ht="15.75" customHeight="1">
      <c r="A79" s="16" t="s">
        <v>96</v>
      </c>
      <c r="B79" s="16" t="str">
        <f t="array" ref="B79">IFERROR(INDEX(Lists!$B$2:$B$14,MATCH(A79,Lists!$A$2:$A$14,0)),"")</f>
        <v>02 Aug – 08 Aug 2026</v>
      </c>
      <c r="C79" s="16" t="s">
        <v>140</v>
      </c>
      <c r="D79" s="16" t="s">
        <v>145</v>
      </c>
      <c r="E79" s="16" t="s">
        <v>116</v>
      </c>
      <c r="F79" s="16" t="s">
        <v>146</v>
      </c>
      <c r="G79" s="16" t="s">
        <v>147</v>
      </c>
    </row>
    <row r="80" ht="15.75" customHeight="1">
      <c r="A80" s="16" t="s">
        <v>96</v>
      </c>
      <c r="B80" s="16" t="str">
        <f t="array" ref="B80">IFERROR(INDEX(Lists!$B$2:$B$14,MATCH(A80,Lists!$A$2:$A$14,0)),"")</f>
        <v>02 Aug – 08 Aug 2026</v>
      </c>
      <c r="C80" s="16" t="s">
        <v>148</v>
      </c>
      <c r="D80" s="16" t="s">
        <v>149</v>
      </c>
      <c r="E80" s="16" t="s">
        <v>116</v>
      </c>
      <c r="F80" s="16" t="s">
        <v>63</v>
      </c>
      <c r="G80" s="16" t="s">
        <v>150</v>
      </c>
    </row>
    <row r="81" ht="15.75" customHeight="1">
      <c r="A81" s="16" t="s">
        <v>96</v>
      </c>
      <c r="B81" s="16" t="str">
        <f t="array" ref="B81">IFERROR(INDEX(Lists!$B$2:$B$14,MATCH(A81,Lists!$A$2:$A$14,0)),"")</f>
        <v>02 Aug – 08 Aug 2026</v>
      </c>
      <c r="C81" s="16" t="s">
        <v>151</v>
      </c>
      <c r="D81" s="16" t="s">
        <v>152</v>
      </c>
      <c r="E81" s="16" t="s">
        <v>116</v>
      </c>
      <c r="F81" s="16" t="s">
        <v>63</v>
      </c>
      <c r="G81" s="16" t="s">
        <v>153</v>
      </c>
    </row>
    <row r="82" ht="15.75" customHeight="1">
      <c r="A82" s="16" t="s">
        <v>100</v>
      </c>
      <c r="B82" s="16" t="str">
        <f t="array" ref="B82">IFERROR(INDEX(Lists!$B$2:$B$14,MATCH(A82,Lists!$A$2:$A$14,0)),"")</f>
        <v>09 Aug – 15 Aug 2026</v>
      </c>
      <c r="C82" s="16" t="s">
        <v>84</v>
      </c>
      <c r="D82" s="16" t="s">
        <v>115</v>
      </c>
      <c r="E82" s="16" t="s">
        <v>116</v>
      </c>
      <c r="F82" s="16" t="s">
        <v>63</v>
      </c>
      <c r="G82" s="16" t="s">
        <v>158</v>
      </c>
    </row>
    <row r="83" ht="15.75" customHeight="1">
      <c r="A83" s="16" t="s">
        <v>100</v>
      </c>
      <c r="B83" s="16" t="str">
        <f t="array" ref="B83">IFERROR(INDEX(Lists!$B$2:$B$14,MATCH(A83,Lists!$A$2:$A$14,0)),"")</f>
        <v>09 Aug – 15 Aug 2026</v>
      </c>
      <c r="C83" s="16" t="s">
        <v>84</v>
      </c>
      <c r="D83" s="16" t="s">
        <v>118</v>
      </c>
      <c r="E83" s="16" t="s">
        <v>116</v>
      </c>
      <c r="F83" s="16" t="s">
        <v>63</v>
      </c>
      <c r="G83" s="16" t="s">
        <v>119</v>
      </c>
    </row>
    <row r="84" ht="15.75" customHeight="1">
      <c r="A84" s="16" t="s">
        <v>100</v>
      </c>
      <c r="B84" s="16" t="str">
        <f t="array" ref="B84">IFERROR(INDEX(Lists!$B$2:$B$14,MATCH(A84,Lists!$A$2:$A$14,0)),"")</f>
        <v>09 Aug – 15 Aug 2026</v>
      </c>
      <c r="C84" s="16" t="s">
        <v>120</v>
      </c>
      <c r="D84" s="16" t="s">
        <v>121</v>
      </c>
      <c r="E84" s="16" t="s">
        <v>116</v>
      </c>
      <c r="F84" s="16" t="s">
        <v>63</v>
      </c>
      <c r="G84" s="16" t="s">
        <v>122</v>
      </c>
    </row>
    <row r="85" ht="15.75" customHeight="1">
      <c r="A85" s="16" t="s">
        <v>100</v>
      </c>
      <c r="B85" s="16" t="str">
        <f t="array" ref="B85">IFERROR(INDEX(Lists!$B$2:$B$14,MATCH(A85,Lists!$A$2:$A$14,0)),"")</f>
        <v>09 Aug – 15 Aug 2026</v>
      </c>
      <c r="C85" s="16" t="s">
        <v>123</v>
      </c>
      <c r="D85" s="16" t="s">
        <v>124</v>
      </c>
      <c r="E85" s="16" t="s">
        <v>116</v>
      </c>
      <c r="F85" s="16" t="s">
        <v>63</v>
      </c>
      <c r="G85" s="16" t="s">
        <v>125</v>
      </c>
    </row>
    <row r="86" ht="15.75" customHeight="1">
      <c r="A86" s="16" t="s">
        <v>100</v>
      </c>
      <c r="B86" s="16" t="str">
        <f t="array" ref="B86">IFERROR(INDEX(Lists!$B$2:$B$14,MATCH(A86,Lists!$A$2:$A$14,0)),"")</f>
        <v>09 Aug – 15 Aug 2026</v>
      </c>
      <c r="C86" s="16" t="s">
        <v>126</v>
      </c>
      <c r="D86" s="16" t="s">
        <v>127</v>
      </c>
      <c r="E86" s="16" t="s">
        <v>116</v>
      </c>
      <c r="F86" s="16" t="s">
        <v>63</v>
      </c>
      <c r="G86" s="16" t="s">
        <v>128</v>
      </c>
    </row>
    <row r="87" ht="15.75" customHeight="1">
      <c r="A87" s="16" t="s">
        <v>100</v>
      </c>
      <c r="B87" s="16" t="str">
        <f t="array" ref="B87">IFERROR(INDEX(Lists!$B$2:$B$14,MATCH(A87,Lists!$A$2:$A$14,0)),"")</f>
        <v>09 Aug – 15 Aug 2026</v>
      </c>
      <c r="C87" s="16" t="s">
        <v>129</v>
      </c>
      <c r="D87" s="16" t="s">
        <v>130</v>
      </c>
      <c r="E87" s="16" t="s">
        <v>116</v>
      </c>
      <c r="F87" s="16" t="s">
        <v>63</v>
      </c>
      <c r="G87" s="16" t="s">
        <v>131</v>
      </c>
    </row>
    <row r="88" ht="15.75" customHeight="1">
      <c r="A88" s="16" t="s">
        <v>100</v>
      </c>
      <c r="B88" s="16" t="str">
        <f t="array" ref="B88">IFERROR(INDEX(Lists!$B$2:$B$14,MATCH(A88,Lists!$A$2:$A$14,0)),"")</f>
        <v>09 Aug – 15 Aug 2026</v>
      </c>
      <c r="C88" s="16" t="s">
        <v>120</v>
      </c>
      <c r="D88" s="16" t="s">
        <v>132</v>
      </c>
      <c r="E88" s="16" t="s">
        <v>116</v>
      </c>
      <c r="F88" s="16" t="s">
        <v>63</v>
      </c>
      <c r="G88" s="16" t="s">
        <v>133</v>
      </c>
    </row>
    <row r="89" ht="15.75" customHeight="1">
      <c r="A89" s="16" t="s">
        <v>100</v>
      </c>
      <c r="B89" s="16" t="str">
        <f t="array" ref="B89">IFERROR(INDEX(Lists!$B$2:$B$14,MATCH(A89,Lists!$A$2:$A$14,0)),"")</f>
        <v>09 Aug – 15 Aug 2026</v>
      </c>
      <c r="C89" s="16" t="s">
        <v>123</v>
      </c>
      <c r="D89" s="16" t="s">
        <v>134</v>
      </c>
      <c r="E89" s="16" t="s">
        <v>116</v>
      </c>
      <c r="F89" s="16" t="s">
        <v>63</v>
      </c>
      <c r="G89" s="16" t="s">
        <v>125</v>
      </c>
    </row>
    <row r="90" ht="15.75" customHeight="1">
      <c r="A90" s="16" t="s">
        <v>100</v>
      </c>
      <c r="B90" s="16" t="str">
        <f t="array" ref="B90">IFERROR(INDEX(Lists!$B$2:$B$14,MATCH(A90,Lists!$A$2:$A$14,0)),"")</f>
        <v>09 Aug – 15 Aug 2026</v>
      </c>
      <c r="C90" s="16" t="s">
        <v>126</v>
      </c>
      <c r="D90" s="16" t="s">
        <v>135</v>
      </c>
      <c r="E90" s="16" t="s">
        <v>116</v>
      </c>
      <c r="F90" s="16" t="s">
        <v>63</v>
      </c>
      <c r="G90" s="16" t="s">
        <v>128</v>
      </c>
    </row>
    <row r="91" ht="15.75" customHeight="1">
      <c r="A91" s="16" t="s">
        <v>100</v>
      </c>
      <c r="B91" s="16" t="str">
        <f t="array" ref="B91">IFERROR(INDEX(Lists!$B$2:$B$14,MATCH(A91,Lists!$A$2:$A$14,0)),"")</f>
        <v>09 Aug – 15 Aug 2026</v>
      </c>
      <c r="C91" s="16" t="s">
        <v>129</v>
      </c>
      <c r="D91" s="16" t="s">
        <v>136</v>
      </c>
      <c r="E91" s="16" t="s">
        <v>116</v>
      </c>
      <c r="F91" s="16" t="s">
        <v>63</v>
      </c>
      <c r="G91" s="16" t="s">
        <v>131</v>
      </c>
    </row>
    <row r="92" ht="15.75" customHeight="1">
      <c r="A92" s="16" t="s">
        <v>100</v>
      </c>
      <c r="B92" s="16" t="str">
        <f t="array" ref="B92">IFERROR(INDEX(Lists!$B$2:$B$14,MATCH(A92,Lists!$A$2:$A$14,0)),"")</f>
        <v>09 Aug – 15 Aug 2026</v>
      </c>
      <c r="C92" s="16" t="s">
        <v>137</v>
      </c>
      <c r="D92" s="16" t="s">
        <v>138</v>
      </c>
      <c r="E92" s="16" t="s">
        <v>116</v>
      </c>
      <c r="F92" s="16" t="s">
        <v>63</v>
      </c>
      <c r="G92" s="16" t="s">
        <v>139</v>
      </c>
    </row>
    <row r="93" ht="15.75" customHeight="1">
      <c r="A93" s="16" t="s">
        <v>100</v>
      </c>
      <c r="B93" s="16" t="str">
        <f t="array" ref="B93">IFERROR(INDEX(Lists!$B$2:$B$14,MATCH(A93,Lists!$A$2:$A$14,0)),"")</f>
        <v>09 Aug – 15 Aug 2026</v>
      </c>
      <c r="C93" s="16" t="s">
        <v>140</v>
      </c>
      <c r="D93" s="16" t="s">
        <v>141</v>
      </c>
      <c r="E93" s="16" t="s">
        <v>116</v>
      </c>
      <c r="F93" s="16" t="s">
        <v>63</v>
      </c>
      <c r="G93" s="16" t="s">
        <v>142</v>
      </c>
    </row>
    <row r="94" ht="15.75" customHeight="1">
      <c r="A94" s="16" t="s">
        <v>100</v>
      </c>
      <c r="B94" s="16" t="str">
        <f t="array" ref="B94">IFERROR(INDEX(Lists!$B$2:$B$14,MATCH(A94,Lists!$A$2:$A$14,0)),"")</f>
        <v>09 Aug – 15 Aug 2026</v>
      </c>
      <c r="C94" s="16" t="s">
        <v>140</v>
      </c>
      <c r="D94" s="16" t="s">
        <v>143</v>
      </c>
      <c r="E94" s="16" t="s">
        <v>116</v>
      </c>
      <c r="F94" s="16" t="s">
        <v>63</v>
      </c>
      <c r="G94" s="16" t="s">
        <v>144</v>
      </c>
    </row>
    <row r="95" ht="15.75" customHeight="1">
      <c r="A95" s="16" t="s">
        <v>100</v>
      </c>
      <c r="B95" s="16" t="str">
        <f t="array" ref="B95">IFERROR(INDEX(Lists!$B$2:$B$14,MATCH(A95,Lists!$A$2:$A$14,0)),"")</f>
        <v>09 Aug – 15 Aug 2026</v>
      </c>
      <c r="C95" s="16" t="s">
        <v>140</v>
      </c>
      <c r="D95" s="16" t="s">
        <v>145</v>
      </c>
      <c r="E95" s="16" t="s">
        <v>116</v>
      </c>
      <c r="F95" s="16" t="s">
        <v>146</v>
      </c>
      <c r="G95" s="16" t="s">
        <v>147</v>
      </c>
    </row>
    <row r="96" ht="15.75" customHeight="1">
      <c r="A96" s="16" t="s">
        <v>100</v>
      </c>
      <c r="B96" s="16" t="str">
        <f t="array" ref="B96">IFERROR(INDEX(Lists!$B$2:$B$14,MATCH(A96,Lists!$A$2:$A$14,0)),"")</f>
        <v>09 Aug – 15 Aug 2026</v>
      </c>
      <c r="C96" s="16" t="s">
        <v>148</v>
      </c>
      <c r="D96" s="16" t="s">
        <v>149</v>
      </c>
      <c r="E96" s="16" t="s">
        <v>116</v>
      </c>
      <c r="F96" s="16" t="s">
        <v>63</v>
      </c>
      <c r="G96" s="16" t="s">
        <v>150</v>
      </c>
    </row>
    <row r="97" ht="15.75" customHeight="1">
      <c r="A97" s="16" t="s">
        <v>100</v>
      </c>
      <c r="B97" s="16" t="str">
        <f t="array" ref="B97">IFERROR(INDEX(Lists!$B$2:$B$14,MATCH(A97,Lists!$A$2:$A$14,0)),"")</f>
        <v>09 Aug – 15 Aug 2026</v>
      </c>
      <c r="C97" s="16" t="s">
        <v>151</v>
      </c>
      <c r="D97" s="16" t="s">
        <v>152</v>
      </c>
      <c r="E97" s="16" t="s">
        <v>116</v>
      </c>
      <c r="F97" s="16" t="s">
        <v>63</v>
      </c>
      <c r="G97" s="16" t="s">
        <v>153</v>
      </c>
    </row>
    <row r="98" ht="15.75" customHeight="1">
      <c r="A98" s="16" t="s">
        <v>103</v>
      </c>
      <c r="B98" s="16" t="str">
        <f t="array" ref="B98">IFERROR(INDEX(Lists!$B$2:$B$14,MATCH(A98,Lists!$A$2:$A$14,0)),"")</f>
        <v>16 Aug – 22 Aug 2026</v>
      </c>
      <c r="C98" s="16" t="s">
        <v>84</v>
      </c>
      <c r="D98" s="16" t="s">
        <v>115</v>
      </c>
      <c r="E98" s="16" t="s">
        <v>116</v>
      </c>
      <c r="F98" s="16" t="s">
        <v>63</v>
      </c>
      <c r="G98" s="16" t="s">
        <v>159</v>
      </c>
    </row>
    <row r="99" ht="15.75" customHeight="1">
      <c r="A99" s="16" t="s">
        <v>103</v>
      </c>
      <c r="B99" s="16" t="str">
        <f t="array" ref="B99">IFERROR(INDEX(Lists!$B$2:$B$14,MATCH(A99,Lists!$A$2:$A$14,0)),"")</f>
        <v>16 Aug – 22 Aug 2026</v>
      </c>
      <c r="C99" s="16" t="s">
        <v>84</v>
      </c>
      <c r="D99" s="16" t="s">
        <v>118</v>
      </c>
      <c r="E99" s="16" t="s">
        <v>116</v>
      </c>
      <c r="F99" s="16" t="s">
        <v>63</v>
      </c>
      <c r="G99" s="16" t="s">
        <v>119</v>
      </c>
    </row>
    <row r="100" ht="15.75" customHeight="1">
      <c r="A100" s="16" t="s">
        <v>103</v>
      </c>
      <c r="B100" s="16" t="str">
        <f t="array" ref="B100">IFERROR(INDEX(Lists!$B$2:$B$14,MATCH(A100,Lists!$A$2:$A$14,0)),"")</f>
        <v>16 Aug – 22 Aug 2026</v>
      </c>
      <c r="C100" s="16" t="s">
        <v>120</v>
      </c>
      <c r="D100" s="16" t="s">
        <v>121</v>
      </c>
      <c r="E100" s="16" t="s">
        <v>116</v>
      </c>
      <c r="F100" s="16" t="s">
        <v>63</v>
      </c>
      <c r="G100" s="16" t="s">
        <v>122</v>
      </c>
    </row>
    <row r="101" ht="15.75" customHeight="1">
      <c r="A101" s="16" t="s">
        <v>103</v>
      </c>
      <c r="B101" s="16" t="str">
        <f t="array" ref="B101">IFERROR(INDEX(Lists!$B$2:$B$14,MATCH(A101,Lists!$A$2:$A$14,0)),"")</f>
        <v>16 Aug – 22 Aug 2026</v>
      </c>
      <c r="C101" s="16" t="s">
        <v>123</v>
      </c>
      <c r="D101" s="16" t="s">
        <v>124</v>
      </c>
      <c r="E101" s="16" t="s">
        <v>116</v>
      </c>
      <c r="F101" s="16" t="s">
        <v>63</v>
      </c>
      <c r="G101" s="16" t="s">
        <v>125</v>
      </c>
    </row>
    <row r="102" ht="15.75" customHeight="1">
      <c r="A102" s="16" t="s">
        <v>103</v>
      </c>
      <c r="B102" s="16" t="str">
        <f t="array" ref="B102">IFERROR(INDEX(Lists!$B$2:$B$14,MATCH(A102,Lists!$A$2:$A$14,0)),"")</f>
        <v>16 Aug – 22 Aug 2026</v>
      </c>
      <c r="C102" s="16" t="s">
        <v>126</v>
      </c>
      <c r="D102" s="16" t="s">
        <v>127</v>
      </c>
      <c r="E102" s="16" t="s">
        <v>116</v>
      </c>
      <c r="F102" s="16" t="s">
        <v>63</v>
      </c>
      <c r="G102" s="16" t="s">
        <v>128</v>
      </c>
    </row>
    <row r="103" ht="15.75" customHeight="1">
      <c r="A103" s="16" t="s">
        <v>103</v>
      </c>
      <c r="B103" s="16" t="str">
        <f t="array" ref="B103">IFERROR(INDEX(Lists!$B$2:$B$14,MATCH(A103,Lists!$A$2:$A$14,0)),"")</f>
        <v>16 Aug – 22 Aug 2026</v>
      </c>
      <c r="C103" s="16" t="s">
        <v>129</v>
      </c>
      <c r="D103" s="16" t="s">
        <v>130</v>
      </c>
      <c r="E103" s="16" t="s">
        <v>116</v>
      </c>
      <c r="F103" s="16" t="s">
        <v>63</v>
      </c>
      <c r="G103" s="16" t="s">
        <v>131</v>
      </c>
    </row>
    <row r="104" ht="15.75" customHeight="1">
      <c r="A104" s="16" t="s">
        <v>103</v>
      </c>
      <c r="B104" s="16" t="str">
        <f t="array" ref="B104">IFERROR(INDEX(Lists!$B$2:$B$14,MATCH(A104,Lists!$A$2:$A$14,0)),"")</f>
        <v>16 Aug – 22 Aug 2026</v>
      </c>
      <c r="C104" s="16" t="s">
        <v>120</v>
      </c>
      <c r="D104" s="16" t="s">
        <v>132</v>
      </c>
      <c r="E104" s="16" t="s">
        <v>116</v>
      </c>
      <c r="F104" s="16" t="s">
        <v>63</v>
      </c>
      <c r="G104" s="16" t="s">
        <v>133</v>
      </c>
    </row>
    <row r="105" ht="15.75" customHeight="1">
      <c r="A105" s="16" t="s">
        <v>103</v>
      </c>
      <c r="B105" s="16" t="str">
        <f t="array" ref="B105">IFERROR(INDEX(Lists!$B$2:$B$14,MATCH(A105,Lists!$A$2:$A$14,0)),"")</f>
        <v>16 Aug – 22 Aug 2026</v>
      </c>
      <c r="C105" s="16" t="s">
        <v>123</v>
      </c>
      <c r="D105" s="16" t="s">
        <v>134</v>
      </c>
      <c r="E105" s="16" t="s">
        <v>116</v>
      </c>
      <c r="F105" s="16" t="s">
        <v>63</v>
      </c>
      <c r="G105" s="16" t="s">
        <v>125</v>
      </c>
    </row>
    <row r="106" ht="15.75" customHeight="1">
      <c r="A106" s="16" t="s">
        <v>103</v>
      </c>
      <c r="B106" s="16" t="str">
        <f t="array" ref="B106">IFERROR(INDEX(Lists!$B$2:$B$14,MATCH(A106,Lists!$A$2:$A$14,0)),"")</f>
        <v>16 Aug – 22 Aug 2026</v>
      </c>
      <c r="C106" s="16" t="s">
        <v>126</v>
      </c>
      <c r="D106" s="16" t="s">
        <v>135</v>
      </c>
      <c r="E106" s="16" t="s">
        <v>116</v>
      </c>
      <c r="F106" s="16" t="s">
        <v>63</v>
      </c>
      <c r="G106" s="16" t="s">
        <v>128</v>
      </c>
    </row>
    <row r="107" ht="15.75" customHeight="1">
      <c r="A107" s="16" t="s">
        <v>103</v>
      </c>
      <c r="B107" s="16" t="str">
        <f t="array" ref="B107">IFERROR(INDEX(Lists!$B$2:$B$14,MATCH(A107,Lists!$A$2:$A$14,0)),"")</f>
        <v>16 Aug – 22 Aug 2026</v>
      </c>
      <c r="C107" s="16" t="s">
        <v>129</v>
      </c>
      <c r="D107" s="16" t="s">
        <v>136</v>
      </c>
      <c r="E107" s="16" t="s">
        <v>116</v>
      </c>
      <c r="F107" s="16" t="s">
        <v>63</v>
      </c>
      <c r="G107" s="16" t="s">
        <v>131</v>
      </c>
    </row>
    <row r="108" ht="15.75" customHeight="1">
      <c r="A108" s="16" t="s">
        <v>103</v>
      </c>
      <c r="B108" s="16" t="str">
        <f t="array" ref="B108">IFERROR(INDEX(Lists!$B$2:$B$14,MATCH(A108,Lists!$A$2:$A$14,0)),"")</f>
        <v>16 Aug – 22 Aug 2026</v>
      </c>
      <c r="C108" s="16" t="s">
        <v>137</v>
      </c>
      <c r="D108" s="16" t="s">
        <v>138</v>
      </c>
      <c r="E108" s="16" t="s">
        <v>116</v>
      </c>
      <c r="F108" s="16" t="s">
        <v>63</v>
      </c>
      <c r="G108" s="16" t="s">
        <v>139</v>
      </c>
    </row>
    <row r="109" ht="15.75" customHeight="1">
      <c r="A109" s="16" t="s">
        <v>103</v>
      </c>
      <c r="B109" s="16" t="str">
        <f t="array" ref="B109">IFERROR(INDEX(Lists!$B$2:$B$14,MATCH(A109,Lists!$A$2:$A$14,0)),"")</f>
        <v>16 Aug – 22 Aug 2026</v>
      </c>
      <c r="C109" s="16" t="s">
        <v>140</v>
      </c>
      <c r="D109" s="16" t="s">
        <v>141</v>
      </c>
      <c r="E109" s="16" t="s">
        <v>116</v>
      </c>
      <c r="F109" s="16" t="s">
        <v>63</v>
      </c>
      <c r="G109" s="16" t="s">
        <v>142</v>
      </c>
    </row>
    <row r="110" ht="15.75" customHeight="1">
      <c r="A110" s="16" t="s">
        <v>103</v>
      </c>
      <c r="B110" s="16" t="str">
        <f t="array" ref="B110">IFERROR(INDEX(Lists!$B$2:$B$14,MATCH(A110,Lists!$A$2:$A$14,0)),"")</f>
        <v>16 Aug – 22 Aug 2026</v>
      </c>
      <c r="C110" s="16" t="s">
        <v>140</v>
      </c>
      <c r="D110" s="16" t="s">
        <v>143</v>
      </c>
      <c r="E110" s="16" t="s">
        <v>116</v>
      </c>
      <c r="F110" s="16" t="s">
        <v>63</v>
      </c>
      <c r="G110" s="16" t="s">
        <v>144</v>
      </c>
    </row>
    <row r="111" ht="15.75" customHeight="1">
      <c r="A111" s="16" t="s">
        <v>103</v>
      </c>
      <c r="B111" s="16" t="str">
        <f t="array" ref="B111">IFERROR(INDEX(Lists!$B$2:$B$14,MATCH(A111,Lists!$A$2:$A$14,0)),"")</f>
        <v>16 Aug – 22 Aug 2026</v>
      </c>
      <c r="C111" s="16" t="s">
        <v>140</v>
      </c>
      <c r="D111" s="16" t="s">
        <v>145</v>
      </c>
      <c r="E111" s="16" t="s">
        <v>116</v>
      </c>
      <c r="F111" s="16" t="s">
        <v>146</v>
      </c>
      <c r="G111" s="16" t="s">
        <v>147</v>
      </c>
    </row>
    <row r="112" ht="15.75" customHeight="1">
      <c r="A112" s="16" t="s">
        <v>103</v>
      </c>
      <c r="B112" s="16" t="str">
        <f t="array" ref="B112">IFERROR(INDEX(Lists!$B$2:$B$14,MATCH(A112,Lists!$A$2:$A$14,0)),"")</f>
        <v>16 Aug – 22 Aug 2026</v>
      </c>
      <c r="C112" s="16" t="s">
        <v>148</v>
      </c>
      <c r="D112" s="16" t="s">
        <v>149</v>
      </c>
      <c r="E112" s="16" t="s">
        <v>116</v>
      </c>
      <c r="F112" s="16" t="s">
        <v>63</v>
      </c>
      <c r="G112" s="16" t="s">
        <v>150</v>
      </c>
    </row>
    <row r="113" ht="15.75" customHeight="1">
      <c r="A113" s="16" t="s">
        <v>103</v>
      </c>
      <c r="B113" s="16" t="str">
        <f t="array" ref="B113">IFERROR(INDEX(Lists!$B$2:$B$14,MATCH(A113,Lists!$A$2:$A$14,0)),"")</f>
        <v>16 Aug – 22 Aug 2026</v>
      </c>
      <c r="C113" s="16" t="s">
        <v>151</v>
      </c>
      <c r="D113" s="16" t="s">
        <v>152</v>
      </c>
      <c r="E113" s="16" t="s">
        <v>116</v>
      </c>
      <c r="F113" s="16" t="s">
        <v>63</v>
      </c>
      <c r="G113" s="16" t="s">
        <v>153</v>
      </c>
    </row>
    <row r="114" ht="15.75" customHeight="1">
      <c r="A114" s="16" t="s">
        <v>106</v>
      </c>
      <c r="B114" s="16" t="str">
        <f t="array" ref="B114">IFERROR(INDEX(Lists!$B$2:$B$14,MATCH(A114,Lists!$A$2:$A$14,0)),"")</f>
        <v>23 Aug – 29 Aug 2026</v>
      </c>
      <c r="C114" s="16" t="s">
        <v>84</v>
      </c>
      <c r="D114" s="16" t="s">
        <v>115</v>
      </c>
      <c r="E114" s="16" t="s">
        <v>116</v>
      </c>
      <c r="F114" s="16" t="s">
        <v>63</v>
      </c>
      <c r="G114" s="16" t="s">
        <v>159</v>
      </c>
    </row>
    <row r="115" ht="15.75" customHeight="1">
      <c r="A115" s="16" t="s">
        <v>106</v>
      </c>
      <c r="B115" s="16" t="str">
        <f t="array" ref="B115">IFERROR(INDEX(Lists!$B$2:$B$14,MATCH(A115,Lists!$A$2:$A$14,0)),"")</f>
        <v>23 Aug – 29 Aug 2026</v>
      </c>
      <c r="C115" s="16" t="s">
        <v>84</v>
      </c>
      <c r="D115" s="16" t="s">
        <v>118</v>
      </c>
      <c r="E115" s="16" t="s">
        <v>116</v>
      </c>
      <c r="F115" s="16" t="s">
        <v>63</v>
      </c>
      <c r="G115" s="16" t="s">
        <v>119</v>
      </c>
    </row>
    <row r="116" ht="15.75" customHeight="1">
      <c r="A116" s="16" t="s">
        <v>106</v>
      </c>
      <c r="B116" s="16" t="str">
        <f t="array" ref="B116">IFERROR(INDEX(Lists!$B$2:$B$14,MATCH(A116,Lists!$A$2:$A$14,0)),"")</f>
        <v>23 Aug – 29 Aug 2026</v>
      </c>
      <c r="C116" s="16" t="s">
        <v>120</v>
      </c>
      <c r="D116" s="16" t="s">
        <v>121</v>
      </c>
      <c r="E116" s="16" t="s">
        <v>116</v>
      </c>
      <c r="F116" s="16" t="s">
        <v>63</v>
      </c>
      <c r="G116" s="16" t="s">
        <v>122</v>
      </c>
    </row>
    <row r="117" ht="15.75" customHeight="1">
      <c r="A117" s="16" t="s">
        <v>106</v>
      </c>
      <c r="B117" s="16" t="str">
        <f t="array" ref="B117">IFERROR(INDEX(Lists!$B$2:$B$14,MATCH(A117,Lists!$A$2:$A$14,0)),"")</f>
        <v>23 Aug – 29 Aug 2026</v>
      </c>
      <c r="C117" s="16" t="s">
        <v>123</v>
      </c>
      <c r="D117" s="16" t="s">
        <v>124</v>
      </c>
      <c r="E117" s="16" t="s">
        <v>116</v>
      </c>
      <c r="F117" s="16" t="s">
        <v>63</v>
      </c>
      <c r="G117" s="16" t="s">
        <v>125</v>
      </c>
    </row>
    <row r="118" ht="15.75" customHeight="1">
      <c r="A118" s="16" t="s">
        <v>106</v>
      </c>
      <c r="B118" s="16" t="str">
        <f t="array" ref="B118">IFERROR(INDEX(Lists!$B$2:$B$14,MATCH(A118,Lists!$A$2:$A$14,0)),"")</f>
        <v>23 Aug – 29 Aug 2026</v>
      </c>
      <c r="C118" s="16" t="s">
        <v>126</v>
      </c>
      <c r="D118" s="16" t="s">
        <v>127</v>
      </c>
      <c r="E118" s="16" t="s">
        <v>116</v>
      </c>
      <c r="F118" s="16" t="s">
        <v>63</v>
      </c>
      <c r="G118" s="16" t="s">
        <v>128</v>
      </c>
    </row>
    <row r="119" ht="15.75" customHeight="1">
      <c r="A119" s="16" t="s">
        <v>106</v>
      </c>
      <c r="B119" s="16" t="str">
        <f t="array" ref="B119">IFERROR(INDEX(Lists!$B$2:$B$14,MATCH(A119,Lists!$A$2:$A$14,0)),"")</f>
        <v>23 Aug – 29 Aug 2026</v>
      </c>
      <c r="C119" s="16" t="s">
        <v>129</v>
      </c>
      <c r="D119" s="16" t="s">
        <v>130</v>
      </c>
      <c r="E119" s="16" t="s">
        <v>116</v>
      </c>
      <c r="F119" s="16" t="s">
        <v>63</v>
      </c>
      <c r="G119" s="16" t="s">
        <v>131</v>
      </c>
    </row>
    <row r="120" ht="15.75" customHeight="1">
      <c r="A120" s="16" t="s">
        <v>106</v>
      </c>
      <c r="B120" s="16" t="str">
        <f t="array" ref="B120">IFERROR(INDEX(Lists!$B$2:$B$14,MATCH(A120,Lists!$A$2:$A$14,0)),"")</f>
        <v>23 Aug – 29 Aug 2026</v>
      </c>
      <c r="C120" s="16" t="s">
        <v>120</v>
      </c>
      <c r="D120" s="16" t="s">
        <v>132</v>
      </c>
      <c r="E120" s="16" t="s">
        <v>116</v>
      </c>
      <c r="F120" s="16" t="s">
        <v>63</v>
      </c>
      <c r="G120" s="16" t="s">
        <v>133</v>
      </c>
    </row>
    <row r="121" ht="15.75" customHeight="1">
      <c r="A121" s="16" t="s">
        <v>106</v>
      </c>
      <c r="B121" s="16" t="str">
        <f t="array" ref="B121">IFERROR(INDEX(Lists!$B$2:$B$14,MATCH(A121,Lists!$A$2:$A$14,0)),"")</f>
        <v>23 Aug – 29 Aug 2026</v>
      </c>
      <c r="C121" s="16" t="s">
        <v>123</v>
      </c>
      <c r="D121" s="16" t="s">
        <v>134</v>
      </c>
      <c r="E121" s="16" t="s">
        <v>116</v>
      </c>
      <c r="F121" s="16" t="s">
        <v>63</v>
      </c>
      <c r="G121" s="16" t="s">
        <v>125</v>
      </c>
    </row>
    <row r="122" ht="15.75" customHeight="1">
      <c r="A122" s="16" t="s">
        <v>106</v>
      </c>
      <c r="B122" s="16" t="str">
        <f t="array" ref="B122">IFERROR(INDEX(Lists!$B$2:$B$14,MATCH(A122,Lists!$A$2:$A$14,0)),"")</f>
        <v>23 Aug – 29 Aug 2026</v>
      </c>
      <c r="C122" s="16" t="s">
        <v>126</v>
      </c>
      <c r="D122" s="16" t="s">
        <v>135</v>
      </c>
      <c r="E122" s="16" t="s">
        <v>116</v>
      </c>
      <c r="F122" s="16" t="s">
        <v>63</v>
      </c>
      <c r="G122" s="16" t="s">
        <v>128</v>
      </c>
    </row>
    <row r="123" ht="15.75" customHeight="1">
      <c r="A123" s="16" t="s">
        <v>106</v>
      </c>
      <c r="B123" s="16" t="str">
        <f t="array" ref="B123">IFERROR(INDEX(Lists!$B$2:$B$14,MATCH(A123,Lists!$A$2:$A$14,0)),"")</f>
        <v>23 Aug – 29 Aug 2026</v>
      </c>
      <c r="C123" s="16" t="s">
        <v>129</v>
      </c>
      <c r="D123" s="16" t="s">
        <v>136</v>
      </c>
      <c r="E123" s="16" t="s">
        <v>116</v>
      </c>
      <c r="F123" s="16" t="s">
        <v>63</v>
      </c>
      <c r="G123" s="16" t="s">
        <v>131</v>
      </c>
    </row>
    <row r="124" ht="15.75" customHeight="1">
      <c r="A124" s="16" t="s">
        <v>106</v>
      </c>
      <c r="B124" s="16" t="str">
        <f t="array" ref="B124">IFERROR(INDEX(Lists!$B$2:$B$14,MATCH(A124,Lists!$A$2:$A$14,0)),"")</f>
        <v>23 Aug – 29 Aug 2026</v>
      </c>
      <c r="C124" s="16" t="s">
        <v>137</v>
      </c>
      <c r="D124" s="16" t="s">
        <v>138</v>
      </c>
      <c r="E124" s="16" t="s">
        <v>116</v>
      </c>
      <c r="F124" s="16" t="s">
        <v>63</v>
      </c>
      <c r="G124" s="16" t="s">
        <v>139</v>
      </c>
    </row>
    <row r="125" ht="15.75" customHeight="1">
      <c r="A125" s="16" t="s">
        <v>106</v>
      </c>
      <c r="B125" s="16" t="str">
        <f t="array" ref="B125">IFERROR(INDEX(Lists!$B$2:$B$14,MATCH(A125,Lists!$A$2:$A$14,0)),"")</f>
        <v>23 Aug – 29 Aug 2026</v>
      </c>
      <c r="C125" s="16" t="s">
        <v>140</v>
      </c>
      <c r="D125" s="16" t="s">
        <v>141</v>
      </c>
      <c r="E125" s="16" t="s">
        <v>116</v>
      </c>
      <c r="F125" s="16" t="s">
        <v>63</v>
      </c>
      <c r="G125" s="16" t="s">
        <v>142</v>
      </c>
    </row>
    <row r="126" ht="15.75" customHeight="1">
      <c r="A126" s="16" t="s">
        <v>106</v>
      </c>
      <c r="B126" s="16" t="str">
        <f t="array" ref="B126">IFERROR(INDEX(Lists!$B$2:$B$14,MATCH(A126,Lists!$A$2:$A$14,0)),"")</f>
        <v>23 Aug – 29 Aug 2026</v>
      </c>
      <c r="C126" s="16" t="s">
        <v>140</v>
      </c>
      <c r="D126" s="16" t="s">
        <v>143</v>
      </c>
      <c r="E126" s="16" t="s">
        <v>116</v>
      </c>
      <c r="F126" s="16" t="s">
        <v>63</v>
      </c>
      <c r="G126" s="16" t="s">
        <v>144</v>
      </c>
    </row>
    <row r="127" ht="15.75" customHeight="1">
      <c r="A127" s="16" t="s">
        <v>106</v>
      </c>
      <c r="B127" s="16" t="str">
        <f t="array" ref="B127">IFERROR(INDEX(Lists!$B$2:$B$14,MATCH(A127,Lists!$A$2:$A$14,0)),"")</f>
        <v>23 Aug – 29 Aug 2026</v>
      </c>
      <c r="C127" s="16" t="s">
        <v>140</v>
      </c>
      <c r="D127" s="16" t="s">
        <v>145</v>
      </c>
      <c r="E127" s="16" t="s">
        <v>116</v>
      </c>
      <c r="F127" s="16" t="s">
        <v>146</v>
      </c>
      <c r="G127" s="16" t="s">
        <v>147</v>
      </c>
    </row>
    <row r="128" ht="15.75" customHeight="1">
      <c r="A128" s="16" t="s">
        <v>106</v>
      </c>
      <c r="B128" s="16" t="str">
        <f t="array" ref="B128">IFERROR(INDEX(Lists!$B$2:$B$14,MATCH(A128,Lists!$A$2:$A$14,0)),"")</f>
        <v>23 Aug – 29 Aug 2026</v>
      </c>
      <c r="C128" s="16" t="s">
        <v>148</v>
      </c>
      <c r="D128" s="16" t="s">
        <v>149</v>
      </c>
      <c r="E128" s="16" t="s">
        <v>116</v>
      </c>
      <c r="F128" s="16" t="s">
        <v>63</v>
      </c>
      <c r="G128" s="16" t="s">
        <v>150</v>
      </c>
    </row>
    <row r="129" ht="15.75" customHeight="1">
      <c r="A129" s="16" t="s">
        <v>106</v>
      </c>
      <c r="B129" s="16" t="str">
        <f t="array" ref="B129">IFERROR(INDEX(Lists!$B$2:$B$14,MATCH(A129,Lists!$A$2:$A$14,0)),"")</f>
        <v>23 Aug – 29 Aug 2026</v>
      </c>
      <c r="C129" s="16" t="s">
        <v>151</v>
      </c>
      <c r="D129" s="16" t="s">
        <v>152</v>
      </c>
      <c r="E129" s="16" t="s">
        <v>116</v>
      </c>
      <c r="F129" s="16" t="s">
        <v>63</v>
      </c>
      <c r="G129" s="16" t="s">
        <v>153</v>
      </c>
    </row>
    <row r="130" ht="15.75" customHeight="1">
      <c r="A130" s="16" t="s">
        <v>108</v>
      </c>
      <c r="B130" s="16" t="str">
        <f t="array" ref="B130">IFERROR(INDEX(Lists!$B$2:$B$14,MATCH(A130,Lists!$A$2:$A$14,0)),"")</f>
        <v>30 Aug – 05 Sep 2026</v>
      </c>
      <c r="C130" s="16" t="s">
        <v>84</v>
      </c>
      <c r="D130" s="16" t="s">
        <v>115</v>
      </c>
      <c r="E130" s="16" t="s">
        <v>116</v>
      </c>
      <c r="F130" s="16" t="s">
        <v>63</v>
      </c>
      <c r="G130" s="16" t="s">
        <v>159</v>
      </c>
    </row>
    <row r="131" ht="15.75" customHeight="1">
      <c r="A131" s="16" t="s">
        <v>108</v>
      </c>
      <c r="B131" s="16" t="str">
        <f t="array" ref="B131">IFERROR(INDEX(Lists!$B$2:$B$14,MATCH(A131,Lists!$A$2:$A$14,0)),"")</f>
        <v>30 Aug – 05 Sep 2026</v>
      </c>
      <c r="C131" s="16" t="s">
        <v>84</v>
      </c>
      <c r="D131" s="16" t="s">
        <v>118</v>
      </c>
      <c r="E131" s="16" t="s">
        <v>116</v>
      </c>
      <c r="F131" s="16" t="s">
        <v>63</v>
      </c>
      <c r="G131" s="16" t="s">
        <v>119</v>
      </c>
    </row>
    <row r="132" ht="15.75" customHeight="1">
      <c r="A132" s="16" t="s">
        <v>108</v>
      </c>
      <c r="B132" s="16" t="str">
        <f t="array" ref="B132">IFERROR(INDEX(Lists!$B$2:$B$14,MATCH(A132,Lists!$A$2:$A$14,0)),"")</f>
        <v>30 Aug – 05 Sep 2026</v>
      </c>
      <c r="C132" s="16" t="s">
        <v>120</v>
      </c>
      <c r="D132" s="16" t="s">
        <v>121</v>
      </c>
      <c r="E132" s="16" t="s">
        <v>116</v>
      </c>
      <c r="F132" s="16" t="s">
        <v>63</v>
      </c>
      <c r="G132" s="16" t="s">
        <v>122</v>
      </c>
    </row>
    <row r="133" ht="15.75" customHeight="1">
      <c r="A133" s="16" t="s">
        <v>108</v>
      </c>
      <c r="B133" s="16" t="str">
        <f t="array" ref="B133">IFERROR(INDEX(Lists!$B$2:$B$14,MATCH(A133,Lists!$A$2:$A$14,0)),"")</f>
        <v>30 Aug – 05 Sep 2026</v>
      </c>
      <c r="C133" s="16" t="s">
        <v>123</v>
      </c>
      <c r="D133" s="16" t="s">
        <v>124</v>
      </c>
      <c r="E133" s="16" t="s">
        <v>116</v>
      </c>
      <c r="F133" s="16" t="s">
        <v>63</v>
      </c>
      <c r="G133" s="16" t="s">
        <v>125</v>
      </c>
    </row>
    <row r="134" ht="15.75" customHeight="1">
      <c r="A134" s="16" t="s">
        <v>108</v>
      </c>
      <c r="B134" s="16" t="str">
        <f t="array" ref="B134">IFERROR(INDEX(Lists!$B$2:$B$14,MATCH(A134,Lists!$A$2:$A$14,0)),"")</f>
        <v>30 Aug – 05 Sep 2026</v>
      </c>
      <c r="C134" s="16" t="s">
        <v>126</v>
      </c>
      <c r="D134" s="16" t="s">
        <v>127</v>
      </c>
      <c r="E134" s="16" t="s">
        <v>116</v>
      </c>
      <c r="F134" s="16" t="s">
        <v>63</v>
      </c>
      <c r="G134" s="16" t="s">
        <v>128</v>
      </c>
    </row>
    <row r="135" ht="15.75" customHeight="1">
      <c r="A135" s="16" t="s">
        <v>108</v>
      </c>
      <c r="B135" s="16" t="str">
        <f t="array" ref="B135">IFERROR(INDEX(Lists!$B$2:$B$14,MATCH(A135,Lists!$A$2:$A$14,0)),"")</f>
        <v>30 Aug – 05 Sep 2026</v>
      </c>
      <c r="C135" s="16" t="s">
        <v>129</v>
      </c>
      <c r="D135" s="16" t="s">
        <v>130</v>
      </c>
      <c r="E135" s="16" t="s">
        <v>116</v>
      </c>
      <c r="F135" s="16" t="s">
        <v>63</v>
      </c>
      <c r="G135" s="16" t="s">
        <v>131</v>
      </c>
    </row>
    <row r="136" ht="15.75" customHeight="1">
      <c r="A136" s="16" t="s">
        <v>108</v>
      </c>
      <c r="B136" s="16" t="str">
        <f t="array" ref="B136">IFERROR(INDEX(Lists!$B$2:$B$14,MATCH(A136,Lists!$A$2:$A$14,0)),"")</f>
        <v>30 Aug – 05 Sep 2026</v>
      </c>
      <c r="C136" s="16" t="s">
        <v>120</v>
      </c>
      <c r="D136" s="16" t="s">
        <v>132</v>
      </c>
      <c r="E136" s="16" t="s">
        <v>116</v>
      </c>
      <c r="F136" s="16" t="s">
        <v>63</v>
      </c>
      <c r="G136" s="16" t="s">
        <v>133</v>
      </c>
    </row>
    <row r="137" ht="15.75" customHeight="1">
      <c r="A137" s="16" t="s">
        <v>108</v>
      </c>
      <c r="B137" s="16" t="str">
        <f t="array" ref="B137">IFERROR(INDEX(Lists!$B$2:$B$14,MATCH(A137,Lists!$A$2:$A$14,0)),"")</f>
        <v>30 Aug – 05 Sep 2026</v>
      </c>
      <c r="C137" s="16" t="s">
        <v>123</v>
      </c>
      <c r="D137" s="16" t="s">
        <v>134</v>
      </c>
      <c r="E137" s="16" t="s">
        <v>116</v>
      </c>
      <c r="F137" s="16" t="s">
        <v>63</v>
      </c>
      <c r="G137" s="16" t="s">
        <v>125</v>
      </c>
    </row>
    <row r="138" ht="15.75" customHeight="1">
      <c r="A138" s="16" t="s">
        <v>108</v>
      </c>
      <c r="B138" s="16" t="str">
        <f t="array" ref="B138">IFERROR(INDEX(Lists!$B$2:$B$14,MATCH(A138,Lists!$A$2:$A$14,0)),"")</f>
        <v>30 Aug – 05 Sep 2026</v>
      </c>
      <c r="C138" s="16" t="s">
        <v>126</v>
      </c>
      <c r="D138" s="16" t="s">
        <v>135</v>
      </c>
      <c r="E138" s="16" t="s">
        <v>116</v>
      </c>
      <c r="F138" s="16" t="s">
        <v>63</v>
      </c>
      <c r="G138" s="16" t="s">
        <v>128</v>
      </c>
    </row>
    <row r="139" ht="15.75" customHeight="1">
      <c r="A139" s="16" t="s">
        <v>108</v>
      </c>
      <c r="B139" s="16" t="str">
        <f t="array" ref="B139">IFERROR(INDEX(Lists!$B$2:$B$14,MATCH(A139,Lists!$A$2:$A$14,0)),"")</f>
        <v>30 Aug – 05 Sep 2026</v>
      </c>
      <c r="C139" s="16" t="s">
        <v>129</v>
      </c>
      <c r="D139" s="16" t="s">
        <v>136</v>
      </c>
      <c r="E139" s="16" t="s">
        <v>116</v>
      </c>
      <c r="F139" s="16" t="s">
        <v>63</v>
      </c>
      <c r="G139" s="16" t="s">
        <v>131</v>
      </c>
    </row>
    <row r="140" ht="15.75" customHeight="1">
      <c r="A140" s="16" t="s">
        <v>108</v>
      </c>
      <c r="B140" s="16" t="str">
        <f t="array" ref="B140">IFERROR(INDEX(Lists!$B$2:$B$14,MATCH(A140,Lists!$A$2:$A$14,0)),"")</f>
        <v>30 Aug – 05 Sep 2026</v>
      </c>
      <c r="C140" s="16" t="s">
        <v>137</v>
      </c>
      <c r="D140" s="16" t="s">
        <v>138</v>
      </c>
      <c r="E140" s="16" t="s">
        <v>116</v>
      </c>
      <c r="F140" s="16" t="s">
        <v>63</v>
      </c>
      <c r="G140" s="16" t="s">
        <v>139</v>
      </c>
    </row>
    <row r="141" ht="15.75" customHeight="1">
      <c r="A141" s="16" t="s">
        <v>108</v>
      </c>
      <c r="B141" s="16" t="str">
        <f t="array" ref="B141">IFERROR(INDEX(Lists!$B$2:$B$14,MATCH(A141,Lists!$A$2:$A$14,0)),"")</f>
        <v>30 Aug – 05 Sep 2026</v>
      </c>
      <c r="C141" s="16" t="s">
        <v>140</v>
      </c>
      <c r="D141" s="16" t="s">
        <v>141</v>
      </c>
      <c r="E141" s="16" t="s">
        <v>116</v>
      </c>
      <c r="F141" s="16" t="s">
        <v>63</v>
      </c>
      <c r="G141" s="16" t="s">
        <v>142</v>
      </c>
    </row>
    <row r="142" ht="15.75" customHeight="1">
      <c r="A142" s="16" t="s">
        <v>108</v>
      </c>
      <c r="B142" s="16" t="str">
        <f t="array" ref="B142">IFERROR(INDEX(Lists!$B$2:$B$14,MATCH(A142,Lists!$A$2:$A$14,0)),"")</f>
        <v>30 Aug – 05 Sep 2026</v>
      </c>
      <c r="C142" s="16" t="s">
        <v>140</v>
      </c>
      <c r="D142" s="16" t="s">
        <v>143</v>
      </c>
      <c r="E142" s="16" t="s">
        <v>116</v>
      </c>
      <c r="F142" s="16" t="s">
        <v>63</v>
      </c>
      <c r="G142" s="16" t="s">
        <v>144</v>
      </c>
    </row>
    <row r="143" ht="15.75" customHeight="1">
      <c r="A143" s="16" t="s">
        <v>108</v>
      </c>
      <c r="B143" s="16" t="str">
        <f t="array" ref="B143">IFERROR(INDEX(Lists!$B$2:$B$14,MATCH(A143,Lists!$A$2:$A$14,0)),"")</f>
        <v>30 Aug – 05 Sep 2026</v>
      </c>
      <c r="C143" s="16" t="s">
        <v>140</v>
      </c>
      <c r="D143" s="16" t="s">
        <v>145</v>
      </c>
      <c r="E143" s="16" t="s">
        <v>116</v>
      </c>
      <c r="F143" s="16" t="s">
        <v>146</v>
      </c>
      <c r="G143" s="16" t="s">
        <v>147</v>
      </c>
    </row>
    <row r="144" ht="15.75" customHeight="1">
      <c r="A144" s="16" t="s">
        <v>108</v>
      </c>
      <c r="B144" s="16" t="str">
        <f t="array" ref="B144">IFERROR(INDEX(Lists!$B$2:$B$14,MATCH(A144,Lists!$A$2:$A$14,0)),"")</f>
        <v>30 Aug – 05 Sep 2026</v>
      </c>
      <c r="C144" s="16" t="s">
        <v>148</v>
      </c>
      <c r="D144" s="16" t="s">
        <v>149</v>
      </c>
      <c r="E144" s="16" t="s">
        <v>116</v>
      </c>
      <c r="F144" s="16" t="s">
        <v>63</v>
      </c>
      <c r="G144" s="16" t="s">
        <v>150</v>
      </c>
    </row>
    <row r="145" ht="15.75" customHeight="1">
      <c r="A145" s="16" t="s">
        <v>108</v>
      </c>
      <c r="B145" s="16" t="str">
        <f t="array" ref="B145">IFERROR(INDEX(Lists!$B$2:$B$14,MATCH(A145,Lists!$A$2:$A$14,0)),"")</f>
        <v>30 Aug – 05 Sep 2026</v>
      </c>
      <c r="C145" s="16" t="s">
        <v>151</v>
      </c>
      <c r="D145" s="16" t="s">
        <v>152</v>
      </c>
      <c r="E145" s="16" t="s">
        <v>116</v>
      </c>
      <c r="F145" s="16" t="s">
        <v>63</v>
      </c>
      <c r="G145" s="16" t="s">
        <v>153</v>
      </c>
    </row>
    <row r="146" ht="15.75" customHeight="1">
      <c r="A146" s="16" t="s">
        <v>109</v>
      </c>
      <c r="B146" s="16" t="str">
        <f t="array" ref="B146">IFERROR(INDEX(Lists!$B$2:$B$14,MATCH(A146,Lists!$A$2:$A$14,0)),"")</f>
        <v>06 Sep – 12 Sep 2026</v>
      </c>
      <c r="C146" s="16" t="s">
        <v>84</v>
      </c>
      <c r="D146" s="16" t="s">
        <v>115</v>
      </c>
      <c r="E146" s="16" t="s">
        <v>116</v>
      </c>
      <c r="F146" s="16" t="s">
        <v>63</v>
      </c>
      <c r="G146" s="16" t="s">
        <v>159</v>
      </c>
    </row>
    <row r="147" ht="15.75" customHeight="1">
      <c r="A147" s="16" t="s">
        <v>109</v>
      </c>
      <c r="B147" s="16" t="str">
        <f t="array" ref="B147">IFERROR(INDEX(Lists!$B$2:$B$14,MATCH(A147,Lists!$A$2:$A$14,0)),"")</f>
        <v>06 Sep – 12 Sep 2026</v>
      </c>
      <c r="C147" s="16" t="s">
        <v>84</v>
      </c>
      <c r="D147" s="16" t="s">
        <v>118</v>
      </c>
      <c r="E147" s="16" t="s">
        <v>116</v>
      </c>
      <c r="F147" s="16" t="s">
        <v>63</v>
      </c>
      <c r="G147" s="16" t="s">
        <v>119</v>
      </c>
    </row>
    <row r="148" ht="15.75" customHeight="1">
      <c r="A148" s="16" t="s">
        <v>109</v>
      </c>
      <c r="B148" s="16" t="str">
        <f t="array" ref="B148">IFERROR(INDEX(Lists!$B$2:$B$14,MATCH(A148,Lists!$A$2:$A$14,0)),"")</f>
        <v>06 Sep – 12 Sep 2026</v>
      </c>
      <c r="C148" s="16" t="s">
        <v>120</v>
      </c>
      <c r="D148" s="16" t="s">
        <v>121</v>
      </c>
      <c r="E148" s="16" t="s">
        <v>116</v>
      </c>
      <c r="F148" s="16" t="s">
        <v>63</v>
      </c>
      <c r="G148" s="16" t="s">
        <v>122</v>
      </c>
    </row>
    <row r="149" ht="15.75" customHeight="1">
      <c r="A149" s="16" t="s">
        <v>109</v>
      </c>
      <c r="B149" s="16" t="str">
        <f t="array" ref="B149">IFERROR(INDEX(Lists!$B$2:$B$14,MATCH(A149,Lists!$A$2:$A$14,0)),"")</f>
        <v>06 Sep – 12 Sep 2026</v>
      </c>
      <c r="C149" s="16" t="s">
        <v>123</v>
      </c>
      <c r="D149" s="16" t="s">
        <v>124</v>
      </c>
      <c r="E149" s="16" t="s">
        <v>116</v>
      </c>
      <c r="F149" s="16" t="s">
        <v>63</v>
      </c>
      <c r="G149" s="16" t="s">
        <v>125</v>
      </c>
    </row>
    <row r="150" ht="15.75" customHeight="1">
      <c r="A150" s="16" t="s">
        <v>109</v>
      </c>
      <c r="B150" s="16" t="str">
        <f t="array" ref="B150">IFERROR(INDEX(Lists!$B$2:$B$14,MATCH(A150,Lists!$A$2:$A$14,0)),"")</f>
        <v>06 Sep – 12 Sep 2026</v>
      </c>
      <c r="C150" s="16" t="s">
        <v>126</v>
      </c>
      <c r="D150" s="16" t="s">
        <v>127</v>
      </c>
      <c r="E150" s="16" t="s">
        <v>116</v>
      </c>
      <c r="F150" s="16" t="s">
        <v>63</v>
      </c>
      <c r="G150" s="16" t="s">
        <v>128</v>
      </c>
    </row>
    <row r="151" ht="15.75" customHeight="1">
      <c r="A151" s="16" t="s">
        <v>109</v>
      </c>
      <c r="B151" s="16" t="str">
        <f t="array" ref="B151">IFERROR(INDEX(Lists!$B$2:$B$14,MATCH(A151,Lists!$A$2:$A$14,0)),"")</f>
        <v>06 Sep – 12 Sep 2026</v>
      </c>
      <c r="C151" s="16" t="s">
        <v>129</v>
      </c>
      <c r="D151" s="16" t="s">
        <v>130</v>
      </c>
      <c r="E151" s="16" t="s">
        <v>116</v>
      </c>
      <c r="F151" s="16" t="s">
        <v>63</v>
      </c>
      <c r="G151" s="16" t="s">
        <v>131</v>
      </c>
    </row>
    <row r="152" ht="15.75" customHeight="1">
      <c r="A152" s="16" t="s">
        <v>109</v>
      </c>
      <c r="B152" s="16" t="str">
        <f t="array" ref="B152">IFERROR(INDEX(Lists!$B$2:$B$14,MATCH(A152,Lists!$A$2:$A$14,0)),"")</f>
        <v>06 Sep – 12 Sep 2026</v>
      </c>
      <c r="C152" s="16" t="s">
        <v>120</v>
      </c>
      <c r="D152" s="16" t="s">
        <v>132</v>
      </c>
      <c r="E152" s="16" t="s">
        <v>116</v>
      </c>
      <c r="F152" s="16" t="s">
        <v>63</v>
      </c>
      <c r="G152" s="16" t="s">
        <v>133</v>
      </c>
    </row>
    <row r="153" ht="15.75" customHeight="1">
      <c r="A153" s="16" t="s">
        <v>109</v>
      </c>
      <c r="B153" s="16" t="str">
        <f t="array" ref="B153">IFERROR(INDEX(Lists!$B$2:$B$14,MATCH(A153,Lists!$A$2:$A$14,0)),"")</f>
        <v>06 Sep – 12 Sep 2026</v>
      </c>
      <c r="C153" s="16" t="s">
        <v>123</v>
      </c>
      <c r="D153" s="16" t="s">
        <v>134</v>
      </c>
      <c r="E153" s="16" t="s">
        <v>116</v>
      </c>
      <c r="F153" s="16" t="s">
        <v>63</v>
      </c>
      <c r="G153" s="16" t="s">
        <v>125</v>
      </c>
    </row>
    <row r="154" ht="15.75" customHeight="1">
      <c r="A154" s="16" t="s">
        <v>109</v>
      </c>
      <c r="B154" s="16" t="str">
        <f t="array" ref="B154">IFERROR(INDEX(Lists!$B$2:$B$14,MATCH(A154,Lists!$A$2:$A$14,0)),"")</f>
        <v>06 Sep – 12 Sep 2026</v>
      </c>
      <c r="C154" s="16" t="s">
        <v>126</v>
      </c>
      <c r="D154" s="16" t="s">
        <v>135</v>
      </c>
      <c r="E154" s="16" t="s">
        <v>116</v>
      </c>
      <c r="F154" s="16" t="s">
        <v>63</v>
      </c>
      <c r="G154" s="16" t="s">
        <v>128</v>
      </c>
    </row>
    <row r="155" ht="15.75" customHeight="1">
      <c r="A155" s="16" t="s">
        <v>109</v>
      </c>
      <c r="B155" s="16" t="str">
        <f t="array" ref="B155">IFERROR(INDEX(Lists!$B$2:$B$14,MATCH(A155,Lists!$A$2:$A$14,0)),"")</f>
        <v>06 Sep – 12 Sep 2026</v>
      </c>
      <c r="C155" s="16" t="s">
        <v>129</v>
      </c>
      <c r="D155" s="16" t="s">
        <v>136</v>
      </c>
      <c r="E155" s="16" t="s">
        <v>116</v>
      </c>
      <c r="F155" s="16" t="s">
        <v>63</v>
      </c>
      <c r="G155" s="16" t="s">
        <v>131</v>
      </c>
    </row>
    <row r="156" ht="15.75" customHeight="1">
      <c r="A156" s="16" t="s">
        <v>109</v>
      </c>
      <c r="B156" s="16" t="str">
        <f t="array" ref="B156">IFERROR(INDEX(Lists!$B$2:$B$14,MATCH(A156,Lists!$A$2:$A$14,0)),"")</f>
        <v>06 Sep – 12 Sep 2026</v>
      </c>
      <c r="C156" s="16" t="s">
        <v>137</v>
      </c>
      <c r="D156" s="16" t="s">
        <v>138</v>
      </c>
      <c r="E156" s="16" t="s">
        <v>116</v>
      </c>
      <c r="F156" s="16" t="s">
        <v>63</v>
      </c>
      <c r="G156" s="16" t="s">
        <v>139</v>
      </c>
    </row>
    <row r="157" ht="15.75" customHeight="1">
      <c r="A157" s="16" t="s">
        <v>109</v>
      </c>
      <c r="B157" s="16" t="str">
        <f t="array" ref="B157">IFERROR(INDEX(Lists!$B$2:$B$14,MATCH(A157,Lists!$A$2:$A$14,0)),"")</f>
        <v>06 Sep – 12 Sep 2026</v>
      </c>
      <c r="C157" s="16" t="s">
        <v>140</v>
      </c>
      <c r="D157" s="16" t="s">
        <v>141</v>
      </c>
      <c r="E157" s="16" t="s">
        <v>116</v>
      </c>
      <c r="F157" s="16" t="s">
        <v>63</v>
      </c>
      <c r="G157" s="16" t="s">
        <v>142</v>
      </c>
    </row>
    <row r="158" ht="15.75" customHeight="1">
      <c r="A158" s="16" t="s">
        <v>109</v>
      </c>
      <c r="B158" s="16" t="str">
        <f t="array" ref="B158">IFERROR(INDEX(Lists!$B$2:$B$14,MATCH(A158,Lists!$A$2:$A$14,0)),"")</f>
        <v>06 Sep – 12 Sep 2026</v>
      </c>
      <c r="C158" s="16" t="s">
        <v>140</v>
      </c>
      <c r="D158" s="16" t="s">
        <v>143</v>
      </c>
      <c r="E158" s="16" t="s">
        <v>116</v>
      </c>
      <c r="F158" s="16" t="s">
        <v>63</v>
      </c>
      <c r="G158" s="16" t="s">
        <v>144</v>
      </c>
    </row>
    <row r="159" ht="15.75" customHeight="1">
      <c r="A159" s="16" t="s">
        <v>109</v>
      </c>
      <c r="B159" s="16" t="str">
        <f t="array" ref="B159">IFERROR(INDEX(Lists!$B$2:$B$14,MATCH(A159,Lists!$A$2:$A$14,0)),"")</f>
        <v>06 Sep – 12 Sep 2026</v>
      </c>
      <c r="C159" s="16" t="s">
        <v>140</v>
      </c>
      <c r="D159" s="16" t="s">
        <v>145</v>
      </c>
      <c r="E159" s="16" t="s">
        <v>116</v>
      </c>
      <c r="F159" s="16" t="s">
        <v>146</v>
      </c>
      <c r="G159" s="16" t="s">
        <v>147</v>
      </c>
    </row>
    <row r="160" ht="15.75" customHeight="1">
      <c r="A160" s="16" t="s">
        <v>109</v>
      </c>
      <c r="B160" s="16" t="str">
        <f t="array" ref="B160">IFERROR(INDEX(Lists!$B$2:$B$14,MATCH(A160,Lists!$A$2:$A$14,0)),"")</f>
        <v>06 Sep – 12 Sep 2026</v>
      </c>
      <c r="C160" s="16" t="s">
        <v>148</v>
      </c>
      <c r="D160" s="16" t="s">
        <v>149</v>
      </c>
      <c r="E160" s="16" t="s">
        <v>116</v>
      </c>
      <c r="F160" s="16" t="s">
        <v>63</v>
      </c>
      <c r="G160" s="16" t="s">
        <v>150</v>
      </c>
    </row>
    <row r="161" ht="15.75" customHeight="1">
      <c r="A161" s="16" t="s">
        <v>109</v>
      </c>
      <c r="B161" s="16" t="str">
        <f t="array" ref="B161">IFERROR(INDEX(Lists!$B$2:$B$14,MATCH(A161,Lists!$A$2:$A$14,0)),"")</f>
        <v>06 Sep – 12 Sep 2026</v>
      </c>
      <c r="C161" s="16" t="s">
        <v>151</v>
      </c>
      <c r="D161" s="16" t="s">
        <v>152</v>
      </c>
      <c r="E161" s="16" t="s">
        <v>116</v>
      </c>
      <c r="F161" s="16" t="s">
        <v>63</v>
      </c>
      <c r="G161" s="16" t="s">
        <v>153</v>
      </c>
    </row>
    <row r="162" ht="15.75" customHeight="1">
      <c r="A162" s="16" t="s">
        <v>110</v>
      </c>
      <c r="B162" s="16" t="str">
        <f t="array" ref="B162">IFERROR(INDEX(Lists!$B$2:$B$14,MATCH(A162,Lists!$A$2:$A$14,0)),"")</f>
        <v>13 Sep – 19 Sep 2026</v>
      </c>
      <c r="C162" s="16" t="s">
        <v>84</v>
      </c>
      <c r="D162" s="16" t="s">
        <v>115</v>
      </c>
      <c r="E162" s="16" t="s">
        <v>116</v>
      </c>
      <c r="F162" s="16" t="s">
        <v>63</v>
      </c>
      <c r="G162" s="16" t="s">
        <v>159</v>
      </c>
    </row>
    <row r="163" ht="15.75" customHeight="1">
      <c r="A163" s="16" t="s">
        <v>110</v>
      </c>
      <c r="B163" s="16" t="str">
        <f t="array" ref="B163">IFERROR(INDEX(Lists!$B$2:$B$14,MATCH(A163,Lists!$A$2:$A$14,0)),"")</f>
        <v>13 Sep – 19 Sep 2026</v>
      </c>
      <c r="C163" s="16" t="s">
        <v>84</v>
      </c>
      <c r="D163" s="16" t="s">
        <v>118</v>
      </c>
      <c r="E163" s="16" t="s">
        <v>116</v>
      </c>
      <c r="F163" s="16" t="s">
        <v>63</v>
      </c>
      <c r="G163" s="16" t="s">
        <v>119</v>
      </c>
    </row>
    <row r="164" ht="15.75" customHeight="1">
      <c r="A164" s="16" t="s">
        <v>110</v>
      </c>
      <c r="B164" s="16" t="str">
        <f t="array" ref="B164">IFERROR(INDEX(Lists!$B$2:$B$14,MATCH(A164,Lists!$A$2:$A$14,0)),"")</f>
        <v>13 Sep – 19 Sep 2026</v>
      </c>
      <c r="C164" s="16" t="s">
        <v>120</v>
      </c>
      <c r="D164" s="16" t="s">
        <v>121</v>
      </c>
      <c r="E164" s="16" t="s">
        <v>116</v>
      </c>
      <c r="F164" s="16" t="s">
        <v>63</v>
      </c>
      <c r="G164" s="16" t="s">
        <v>122</v>
      </c>
    </row>
    <row r="165" ht="15.75" customHeight="1">
      <c r="A165" s="16" t="s">
        <v>110</v>
      </c>
      <c r="B165" s="16" t="str">
        <f t="array" ref="B165">IFERROR(INDEX(Lists!$B$2:$B$14,MATCH(A165,Lists!$A$2:$A$14,0)),"")</f>
        <v>13 Sep – 19 Sep 2026</v>
      </c>
      <c r="C165" s="16" t="s">
        <v>123</v>
      </c>
      <c r="D165" s="16" t="s">
        <v>124</v>
      </c>
      <c r="E165" s="16" t="s">
        <v>116</v>
      </c>
      <c r="F165" s="16" t="s">
        <v>63</v>
      </c>
      <c r="G165" s="16" t="s">
        <v>125</v>
      </c>
    </row>
    <row r="166" ht="15.75" customHeight="1">
      <c r="A166" s="16" t="s">
        <v>110</v>
      </c>
      <c r="B166" s="16" t="str">
        <f t="array" ref="B166">IFERROR(INDEX(Lists!$B$2:$B$14,MATCH(A166,Lists!$A$2:$A$14,0)),"")</f>
        <v>13 Sep – 19 Sep 2026</v>
      </c>
      <c r="C166" s="16" t="s">
        <v>126</v>
      </c>
      <c r="D166" s="16" t="s">
        <v>127</v>
      </c>
      <c r="E166" s="16" t="s">
        <v>116</v>
      </c>
      <c r="F166" s="16" t="s">
        <v>63</v>
      </c>
      <c r="G166" s="16" t="s">
        <v>128</v>
      </c>
    </row>
    <row r="167" ht="15.75" customHeight="1">
      <c r="A167" s="16" t="s">
        <v>110</v>
      </c>
      <c r="B167" s="16" t="str">
        <f t="array" ref="B167">IFERROR(INDEX(Lists!$B$2:$B$14,MATCH(A167,Lists!$A$2:$A$14,0)),"")</f>
        <v>13 Sep – 19 Sep 2026</v>
      </c>
      <c r="C167" s="16" t="s">
        <v>129</v>
      </c>
      <c r="D167" s="16" t="s">
        <v>130</v>
      </c>
      <c r="E167" s="16" t="s">
        <v>116</v>
      </c>
      <c r="F167" s="16" t="s">
        <v>63</v>
      </c>
      <c r="G167" s="16" t="s">
        <v>131</v>
      </c>
    </row>
    <row r="168" ht="15.75" customHeight="1">
      <c r="A168" s="16" t="s">
        <v>110</v>
      </c>
      <c r="B168" s="16" t="str">
        <f t="array" ref="B168">IFERROR(INDEX(Lists!$B$2:$B$14,MATCH(A168,Lists!$A$2:$A$14,0)),"")</f>
        <v>13 Sep – 19 Sep 2026</v>
      </c>
      <c r="C168" s="16" t="s">
        <v>120</v>
      </c>
      <c r="D168" s="16" t="s">
        <v>132</v>
      </c>
      <c r="E168" s="16" t="s">
        <v>116</v>
      </c>
      <c r="F168" s="16" t="s">
        <v>63</v>
      </c>
      <c r="G168" s="16" t="s">
        <v>133</v>
      </c>
    </row>
    <row r="169" ht="15.75" customHeight="1">
      <c r="A169" s="16" t="s">
        <v>110</v>
      </c>
      <c r="B169" s="16" t="str">
        <f t="array" ref="B169">IFERROR(INDEX(Lists!$B$2:$B$14,MATCH(A169,Lists!$A$2:$A$14,0)),"")</f>
        <v>13 Sep – 19 Sep 2026</v>
      </c>
      <c r="C169" s="16" t="s">
        <v>123</v>
      </c>
      <c r="D169" s="16" t="s">
        <v>134</v>
      </c>
      <c r="E169" s="16" t="s">
        <v>116</v>
      </c>
      <c r="F169" s="16" t="s">
        <v>63</v>
      </c>
      <c r="G169" s="16" t="s">
        <v>125</v>
      </c>
    </row>
    <row r="170" ht="15.75" customHeight="1">
      <c r="A170" s="16" t="s">
        <v>110</v>
      </c>
      <c r="B170" s="16" t="str">
        <f t="array" ref="B170">IFERROR(INDEX(Lists!$B$2:$B$14,MATCH(A170,Lists!$A$2:$A$14,0)),"")</f>
        <v>13 Sep – 19 Sep 2026</v>
      </c>
      <c r="C170" s="16" t="s">
        <v>126</v>
      </c>
      <c r="D170" s="16" t="s">
        <v>135</v>
      </c>
      <c r="E170" s="16" t="s">
        <v>116</v>
      </c>
      <c r="F170" s="16" t="s">
        <v>63</v>
      </c>
      <c r="G170" s="16" t="s">
        <v>128</v>
      </c>
    </row>
    <row r="171" ht="15.75" customHeight="1">
      <c r="A171" s="16" t="s">
        <v>110</v>
      </c>
      <c r="B171" s="16" t="str">
        <f t="array" ref="B171">IFERROR(INDEX(Lists!$B$2:$B$14,MATCH(A171,Lists!$A$2:$A$14,0)),"")</f>
        <v>13 Sep – 19 Sep 2026</v>
      </c>
      <c r="C171" s="16" t="s">
        <v>129</v>
      </c>
      <c r="D171" s="16" t="s">
        <v>136</v>
      </c>
      <c r="E171" s="16" t="s">
        <v>116</v>
      </c>
      <c r="F171" s="16" t="s">
        <v>63</v>
      </c>
      <c r="G171" s="16" t="s">
        <v>131</v>
      </c>
    </row>
    <row r="172" ht="15.75" customHeight="1">
      <c r="A172" s="16" t="s">
        <v>110</v>
      </c>
      <c r="B172" s="16" t="str">
        <f t="array" ref="B172">IFERROR(INDEX(Lists!$B$2:$B$14,MATCH(A172,Lists!$A$2:$A$14,0)),"")</f>
        <v>13 Sep – 19 Sep 2026</v>
      </c>
      <c r="C172" s="16" t="s">
        <v>137</v>
      </c>
      <c r="D172" s="16" t="s">
        <v>138</v>
      </c>
      <c r="E172" s="16" t="s">
        <v>116</v>
      </c>
      <c r="F172" s="16" t="s">
        <v>63</v>
      </c>
      <c r="G172" s="16" t="s">
        <v>139</v>
      </c>
    </row>
    <row r="173" ht="15.75" customHeight="1">
      <c r="A173" s="16" t="s">
        <v>110</v>
      </c>
      <c r="B173" s="16" t="str">
        <f t="array" ref="B173">IFERROR(INDEX(Lists!$B$2:$B$14,MATCH(A173,Lists!$A$2:$A$14,0)),"")</f>
        <v>13 Sep – 19 Sep 2026</v>
      </c>
      <c r="C173" s="16" t="s">
        <v>140</v>
      </c>
      <c r="D173" s="16" t="s">
        <v>141</v>
      </c>
      <c r="E173" s="16" t="s">
        <v>116</v>
      </c>
      <c r="F173" s="16" t="s">
        <v>63</v>
      </c>
      <c r="G173" s="16" t="s">
        <v>142</v>
      </c>
    </row>
    <row r="174" ht="15.75" customHeight="1">
      <c r="A174" s="16" t="s">
        <v>110</v>
      </c>
      <c r="B174" s="16" t="str">
        <f t="array" ref="B174">IFERROR(INDEX(Lists!$B$2:$B$14,MATCH(A174,Lists!$A$2:$A$14,0)),"")</f>
        <v>13 Sep – 19 Sep 2026</v>
      </c>
      <c r="C174" s="16" t="s">
        <v>140</v>
      </c>
      <c r="D174" s="16" t="s">
        <v>143</v>
      </c>
      <c r="E174" s="16" t="s">
        <v>116</v>
      </c>
      <c r="F174" s="16" t="s">
        <v>63</v>
      </c>
      <c r="G174" s="16" t="s">
        <v>144</v>
      </c>
    </row>
    <row r="175" ht="15.75" customHeight="1">
      <c r="A175" s="16" t="s">
        <v>110</v>
      </c>
      <c r="B175" s="16" t="str">
        <f t="array" ref="B175">IFERROR(INDEX(Lists!$B$2:$B$14,MATCH(A175,Lists!$A$2:$A$14,0)),"")</f>
        <v>13 Sep – 19 Sep 2026</v>
      </c>
      <c r="C175" s="16" t="s">
        <v>140</v>
      </c>
      <c r="D175" s="16" t="s">
        <v>145</v>
      </c>
      <c r="E175" s="16" t="s">
        <v>116</v>
      </c>
      <c r="F175" s="16" t="s">
        <v>146</v>
      </c>
      <c r="G175" s="16" t="s">
        <v>147</v>
      </c>
    </row>
    <row r="176" ht="15.75" customHeight="1">
      <c r="A176" s="16" t="s">
        <v>110</v>
      </c>
      <c r="B176" s="16" t="str">
        <f t="array" ref="B176">IFERROR(INDEX(Lists!$B$2:$B$14,MATCH(A176,Lists!$A$2:$A$14,0)),"")</f>
        <v>13 Sep – 19 Sep 2026</v>
      </c>
      <c r="C176" s="16" t="s">
        <v>148</v>
      </c>
      <c r="D176" s="16" t="s">
        <v>149</v>
      </c>
      <c r="E176" s="16" t="s">
        <v>116</v>
      </c>
      <c r="F176" s="16" t="s">
        <v>63</v>
      </c>
      <c r="G176" s="16" t="s">
        <v>150</v>
      </c>
    </row>
    <row r="177" ht="15.75" customHeight="1">
      <c r="A177" s="16" t="s">
        <v>110</v>
      </c>
      <c r="B177" s="16" t="str">
        <f t="array" ref="B177">IFERROR(INDEX(Lists!$B$2:$B$14,MATCH(A177,Lists!$A$2:$A$14,0)),"")</f>
        <v>13 Sep – 19 Sep 2026</v>
      </c>
      <c r="C177" s="16" t="s">
        <v>151</v>
      </c>
      <c r="D177" s="16" t="s">
        <v>152</v>
      </c>
      <c r="E177" s="16" t="s">
        <v>116</v>
      </c>
      <c r="F177" s="16" t="s">
        <v>63</v>
      </c>
      <c r="G177" s="16" t="s">
        <v>153</v>
      </c>
    </row>
    <row r="178" ht="15.75" customHeight="1">
      <c r="A178" s="16" t="s">
        <v>111</v>
      </c>
      <c r="B178" s="16" t="str">
        <f t="array" ref="B178">IFERROR(INDEX(Lists!$B$2:$B$14,MATCH(A178,Lists!$A$2:$A$14,0)),"")</f>
        <v>20 Sep – 26 Sep 2026</v>
      </c>
      <c r="C178" s="16" t="s">
        <v>84</v>
      </c>
      <c r="D178" s="16" t="s">
        <v>115</v>
      </c>
      <c r="E178" s="16" t="s">
        <v>116</v>
      </c>
      <c r="F178" s="16" t="s">
        <v>63</v>
      </c>
      <c r="G178" s="16" t="s">
        <v>159</v>
      </c>
    </row>
    <row r="179" ht="15.75" customHeight="1">
      <c r="A179" s="16" t="s">
        <v>111</v>
      </c>
      <c r="B179" s="16" t="str">
        <f t="array" ref="B179">IFERROR(INDEX(Lists!$B$2:$B$14,MATCH(A179,Lists!$A$2:$A$14,0)),"")</f>
        <v>20 Sep – 26 Sep 2026</v>
      </c>
      <c r="C179" s="16" t="s">
        <v>84</v>
      </c>
      <c r="D179" s="16" t="s">
        <v>118</v>
      </c>
      <c r="E179" s="16" t="s">
        <v>116</v>
      </c>
      <c r="F179" s="16" t="s">
        <v>63</v>
      </c>
      <c r="G179" s="16" t="s">
        <v>119</v>
      </c>
    </row>
    <row r="180" ht="15.75" customHeight="1">
      <c r="A180" s="16" t="s">
        <v>111</v>
      </c>
      <c r="B180" s="16" t="str">
        <f t="array" ref="B180">IFERROR(INDEX(Lists!$B$2:$B$14,MATCH(A180,Lists!$A$2:$A$14,0)),"")</f>
        <v>20 Sep – 26 Sep 2026</v>
      </c>
      <c r="C180" s="16" t="s">
        <v>120</v>
      </c>
      <c r="D180" s="16" t="s">
        <v>121</v>
      </c>
      <c r="E180" s="16" t="s">
        <v>116</v>
      </c>
      <c r="F180" s="16" t="s">
        <v>63</v>
      </c>
      <c r="G180" s="16" t="s">
        <v>122</v>
      </c>
    </row>
    <row r="181" ht="15.75" customHeight="1">
      <c r="A181" s="16" t="s">
        <v>111</v>
      </c>
      <c r="B181" s="16" t="str">
        <f t="array" ref="B181">IFERROR(INDEX(Lists!$B$2:$B$14,MATCH(A181,Lists!$A$2:$A$14,0)),"")</f>
        <v>20 Sep – 26 Sep 2026</v>
      </c>
      <c r="C181" s="16" t="s">
        <v>123</v>
      </c>
      <c r="D181" s="16" t="s">
        <v>124</v>
      </c>
      <c r="E181" s="16" t="s">
        <v>116</v>
      </c>
      <c r="F181" s="16" t="s">
        <v>63</v>
      </c>
      <c r="G181" s="16" t="s">
        <v>125</v>
      </c>
    </row>
    <row r="182" ht="15.75" customHeight="1">
      <c r="A182" s="16" t="s">
        <v>111</v>
      </c>
      <c r="B182" s="16" t="str">
        <f t="array" ref="B182">IFERROR(INDEX(Lists!$B$2:$B$14,MATCH(A182,Lists!$A$2:$A$14,0)),"")</f>
        <v>20 Sep – 26 Sep 2026</v>
      </c>
      <c r="C182" s="16" t="s">
        <v>126</v>
      </c>
      <c r="D182" s="16" t="s">
        <v>127</v>
      </c>
      <c r="E182" s="16" t="s">
        <v>116</v>
      </c>
      <c r="F182" s="16" t="s">
        <v>63</v>
      </c>
      <c r="G182" s="16" t="s">
        <v>128</v>
      </c>
    </row>
    <row r="183" ht="15.75" customHeight="1">
      <c r="A183" s="16" t="s">
        <v>111</v>
      </c>
      <c r="B183" s="16" t="str">
        <f t="array" ref="B183">IFERROR(INDEX(Lists!$B$2:$B$14,MATCH(A183,Lists!$A$2:$A$14,0)),"")</f>
        <v>20 Sep – 26 Sep 2026</v>
      </c>
      <c r="C183" s="16" t="s">
        <v>129</v>
      </c>
      <c r="D183" s="16" t="s">
        <v>130</v>
      </c>
      <c r="E183" s="16" t="s">
        <v>116</v>
      </c>
      <c r="F183" s="16" t="s">
        <v>63</v>
      </c>
      <c r="G183" s="16" t="s">
        <v>131</v>
      </c>
    </row>
    <row r="184" ht="15.75" customHeight="1">
      <c r="A184" s="16" t="s">
        <v>111</v>
      </c>
      <c r="B184" s="16" t="str">
        <f t="array" ref="B184">IFERROR(INDEX(Lists!$B$2:$B$14,MATCH(A184,Lists!$A$2:$A$14,0)),"")</f>
        <v>20 Sep – 26 Sep 2026</v>
      </c>
      <c r="C184" s="16" t="s">
        <v>120</v>
      </c>
      <c r="D184" s="16" t="s">
        <v>132</v>
      </c>
      <c r="E184" s="16" t="s">
        <v>116</v>
      </c>
      <c r="F184" s="16" t="s">
        <v>63</v>
      </c>
      <c r="G184" s="16" t="s">
        <v>133</v>
      </c>
    </row>
    <row r="185" ht="15.75" customHeight="1">
      <c r="A185" s="16" t="s">
        <v>111</v>
      </c>
      <c r="B185" s="16" t="str">
        <f t="array" ref="B185">IFERROR(INDEX(Lists!$B$2:$B$14,MATCH(A185,Lists!$A$2:$A$14,0)),"")</f>
        <v>20 Sep – 26 Sep 2026</v>
      </c>
      <c r="C185" s="16" t="s">
        <v>123</v>
      </c>
      <c r="D185" s="16" t="s">
        <v>134</v>
      </c>
      <c r="E185" s="16" t="s">
        <v>116</v>
      </c>
      <c r="F185" s="16" t="s">
        <v>63</v>
      </c>
      <c r="G185" s="16" t="s">
        <v>125</v>
      </c>
    </row>
    <row r="186" ht="15.75" customHeight="1">
      <c r="A186" s="16" t="s">
        <v>111</v>
      </c>
      <c r="B186" s="16" t="str">
        <f t="array" ref="B186">IFERROR(INDEX(Lists!$B$2:$B$14,MATCH(A186,Lists!$A$2:$A$14,0)),"")</f>
        <v>20 Sep – 26 Sep 2026</v>
      </c>
      <c r="C186" s="16" t="s">
        <v>126</v>
      </c>
      <c r="D186" s="16" t="s">
        <v>135</v>
      </c>
      <c r="E186" s="16" t="s">
        <v>116</v>
      </c>
      <c r="F186" s="16" t="s">
        <v>63</v>
      </c>
      <c r="G186" s="16" t="s">
        <v>128</v>
      </c>
    </row>
    <row r="187" ht="15.75" customHeight="1">
      <c r="A187" s="16" t="s">
        <v>111</v>
      </c>
      <c r="B187" s="16" t="str">
        <f t="array" ref="B187">IFERROR(INDEX(Lists!$B$2:$B$14,MATCH(A187,Lists!$A$2:$A$14,0)),"")</f>
        <v>20 Sep – 26 Sep 2026</v>
      </c>
      <c r="C187" s="16" t="s">
        <v>129</v>
      </c>
      <c r="D187" s="16" t="s">
        <v>136</v>
      </c>
      <c r="E187" s="16" t="s">
        <v>116</v>
      </c>
      <c r="F187" s="16" t="s">
        <v>63</v>
      </c>
      <c r="G187" s="16" t="s">
        <v>131</v>
      </c>
    </row>
    <row r="188" ht="15.75" customHeight="1">
      <c r="A188" s="16" t="s">
        <v>111</v>
      </c>
      <c r="B188" s="16" t="str">
        <f t="array" ref="B188">IFERROR(INDEX(Lists!$B$2:$B$14,MATCH(A188,Lists!$A$2:$A$14,0)),"")</f>
        <v>20 Sep – 26 Sep 2026</v>
      </c>
      <c r="C188" s="16" t="s">
        <v>137</v>
      </c>
      <c r="D188" s="16" t="s">
        <v>138</v>
      </c>
      <c r="E188" s="16" t="s">
        <v>116</v>
      </c>
      <c r="F188" s="16" t="s">
        <v>63</v>
      </c>
      <c r="G188" s="16" t="s">
        <v>139</v>
      </c>
    </row>
    <row r="189" ht="15.75" customHeight="1">
      <c r="A189" s="16" t="s">
        <v>111</v>
      </c>
      <c r="B189" s="16" t="str">
        <f t="array" ref="B189">IFERROR(INDEX(Lists!$B$2:$B$14,MATCH(A189,Lists!$A$2:$A$14,0)),"")</f>
        <v>20 Sep – 26 Sep 2026</v>
      </c>
      <c r="C189" s="16" t="s">
        <v>140</v>
      </c>
      <c r="D189" s="16" t="s">
        <v>141</v>
      </c>
      <c r="E189" s="16" t="s">
        <v>116</v>
      </c>
      <c r="F189" s="16" t="s">
        <v>63</v>
      </c>
      <c r="G189" s="16" t="s">
        <v>142</v>
      </c>
    </row>
    <row r="190" ht="15.75" customHeight="1">
      <c r="A190" s="16" t="s">
        <v>111</v>
      </c>
      <c r="B190" s="16" t="str">
        <f t="array" ref="B190">IFERROR(INDEX(Lists!$B$2:$B$14,MATCH(A190,Lists!$A$2:$A$14,0)),"")</f>
        <v>20 Sep – 26 Sep 2026</v>
      </c>
      <c r="C190" s="16" t="s">
        <v>140</v>
      </c>
      <c r="D190" s="16" t="s">
        <v>143</v>
      </c>
      <c r="E190" s="16" t="s">
        <v>116</v>
      </c>
      <c r="F190" s="16" t="s">
        <v>63</v>
      </c>
      <c r="G190" s="16" t="s">
        <v>144</v>
      </c>
    </row>
    <row r="191" ht="15.75" customHeight="1">
      <c r="A191" s="16" t="s">
        <v>111</v>
      </c>
      <c r="B191" s="16" t="str">
        <f t="array" ref="B191">IFERROR(INDEX(Lists!$B$2:$B$14,MATCH(A191,Lists!$A$2:$A$14,0)),"")</f>
        <v>20 Sep – 26 Sep 2026</v>
      </c>
      <c r="C191" s="16" t="s">
        <v>140</v>
      </c>
      <c r="D191" s="16" t="s">
        <v>145</v>
      </c>
      <c r="E191" s="16" t="s">
        <v>116</v>
      </c>
      <c r="F191" s="16" t="s">
        <v>146</v>
      </c>
      <c r="G191" s="16" t="s">
        <v>147</v>
      </c>
    </row>
    <row r="192" ht="15.75" customHeight="1">
      <c r="A192" s="16" t="s">
        <v>111</v>
      </c>
      <c r="B192" s="16" t="str">
        <f t="array" ref="B192">IFERROR(INDEX(Lists!$B$2:$B$14,MATCH(A192,Lists!$A$2:$A$14,0)),"")</f>
        <v>20 Sep – 26 Sep 2026</v>
      </c>
      <c r="C192" s="16" t="s">
        <v>148</v>
      </c>
      <c r="D192" s="16" t="s">
        <v>149</v>
      </c>
      <c r="E192" s="16" t="s">
        <v>116</v>
      </c>
      <c r="F192" s="16" t="s">
        <v>63</v>
      </c>
      <c r="G192" s="16" t="s">
        <v>150</v>
      </c>
    </row>
    <row r="193" ht="15.75" customHeight="1">
      <c r="A193" s="16" t="s">
        <v>111</v>
      </c>
      <c r="B193" s="16" t="str">
        <f t="array" ref="B193">IFERROR(INDEX(Lists!$B$2:$B$14,MATCH(A193,Lists!$A$2:$A$14,0)),"")</f>
        <v>20 Sep – 26 Sep 2026</v>
      </c>
      <c r="C193" s="16" t="s">
        <v>151</v>
      </c>
      <c r="D193" s="16" t="s">
        <v>152</v>
      </c>
      <c r="E193" s="16" t="s">
        <v>116</v>
      </c>
      <c r="F193" s="16" t="s">
        <v>63</v>
      </c>
      <c r="G193" s="16" t="s">
        <v>153</v>
      </c>
    </row>
    <row r="194" ht="15.75" customHeight="1">
      <c r="A194" s="16" t="s">
        <v>112</v>
      </c>
      <c r="B194" s="16" t="str">
        <f t="array" ref="B194">IFERROR(INDEX(Lists!$B$2:$B$14,MATCH(A194,Lists!$A$2:$A$14,0)),"")</f>
        <v>27 Sep – 03 Oct 2026</v>
      </c>
      <c r="C194" s="16" t="s">
        <v>84</v>
      </c>
      <c r="D194" s="16" t="s">
        <v>115</v>
      </c>
      <c r="E194" s="16" t="s">
        <v>116</v>
      </c>
      <c r="F194" s="16" t="s">
        <v>63</v>
      </c>
      <c r="G194" s="16" t="s">
        <v>159</v>
      </c>
    </row>
    <row r="195" ht="15.75" customHeight="1">
      <c r="A195" s="16" t="s">
        <v>112</v>
      </c>
      <c r="B195" s="16" t="str">
        <f t="array" ref="B195">IFERROR(INDEX(Lists!$B$2:$B$14,MATCH(A195,Lists!$A$2:$A$14,0)),"")</f>
        <v>27 Sep – 03 Oct 2026</v>
      </c>
      <c r="C195" s="16" t="s">
        <v>84</v>
      </c>
      <c r="D195" s="16" t="s">
        <v>118</v>
      </c>
      <c r="E195" s="16" t="s">
        <v>116</v>
      </c>
      <c r="F195" s="16" t="s">
        <v>63</v>
      </c>
      <c r="G195" s="16" t="s">
        <v>119</v>
      </c>
    </row>
    <row r="196" ht="15.75" customHeight="1">
      <c r="A196" s="16" t="s">
        <v>112</v>
      </c>
      <c r="B196" s="16" t="str">
        <f t="array" ref="B196">IFERROR(INDEX(Lists!$B$2:$B$14,MATCH(A196,Lists!$A$2:$A$14,0)),"")</f>
        <v>27 Sep – 03 Oct 2026</v>
      </c>
      <c r="C196" s="16" t="s">
        <v>120</v>
      </c>
      <c r="D196" s="16" t="s">
        <v>121</v>
      </c>
      <c r="E196" s="16" t="s">
        <v>116</v>
      </c>
      <c r="F196" s="16" t="s">
        <v>63</v>
      </c>
      <c r="G196" s="16" t="s">
        <v>122</v>
      </c>
    </row>
    <row r="197" ht="15.75" customHeight="1">
      <c r="A197" s="16" t="s">
        <v>112</v>
      </c>
      <c r="B197" s="16" t="str">
        <f t="array" ref="B197">IFERROR(INDEX(Lists!$B$2:$B$14,MATCH(A197,Lists!$A$2:$A$14,0)),"")</f>
        <v>27 Sep – 03 Oct 2026</v>
      </c>
      <c r="C197" s="16" t="s">
        <v>123</v>
      </c>
      <c r="D197" s="16" t="s">
        <v>124</v>
      </c>
      <c r="E197" s="16" t="s">
        <v>116</v>
      </c>
      <c r="F197" s="16" t="s">
        <v>63</v>
      </c>
      <c r="G197" s="16" t="s">
        <v>125</v>
      </c>
    </row>
    <row r="198" ht="15.75" customHeight="1">
      <c r="A198" s="16" t="s">
        <v>112</v>
      </c>
      <c r="B198" s="16" t="str">
        <f t="array" ref="B198">IFERROR(INDEX(Lists!$B$2:$B$14,MATCH(A198,Lists!$A$2:$A$14,0)),"")</f>
        <v>27 Sep – 03 Oct 2026</v>
      </c>
      <c r="C198" s="16" t="s">
        <v>126</v>
      </c>
      <c r="D198" s="16" t="s">
        <v>127</v>
      </c>
      <c r="E198" s="16" t="s">
        <v>116</v>
      </c>
      <c r="F198" s="16" t="s">
        <v>63</v>
      </c>
      <c r="G198" s="16" t="s">
        <v>128</v>
      </c>
    </row>
    <row r="199" ht="15.75" customHeight="1">
      <c r="A199" s="16" t="s">
        <v>112</v>
      </c>
      <c r="B199" s="16" t="str">
        <f t="array" ref="B199">IFERROR(INDEX(Lists!$B$2:$B$14,MATCH(A199,Lists!$A$2:$A$14,0)),"")</f>
        <v>27 Sep – 03 Oct 2026</v>
      </c>
      <c r="C199" s="16" t="s">
        <v>129</v>
      </c>
      <c r="D199" s="16" t="s">
        <v>130</v>
      </c>
      <c r="E199" s="16" t="s">
        <v>116</v>
      </c>
      <c r="F199" s="16" t="s">
        <v>63</v>
      </c>
      <c r="G199" s="16" t="s">
        <v>131</v>
      </c>
    </row>
    <row r="200" ht="15.75" customHeight="1">
      <c r="A200" s="16" t="s">
        <v>112</v>
      </c>
      <c r="B200" s="16" t="str">
        <f t="array" ref="B200">IFERROR(INDEX(Lists!$B$2:$B$14,MATCH(A200,Lists!$A$2:$A$14,0)),"")</f>
        <v>27 Sep – 03 Oct 2026</v>
      </c>
      <c r="C200" s="16" t="s">
        <v>120</v>
      </c>
      <c r="D200" s="16" t="s">
        <v>132</v>
      </c>
      <c r="E200" s="16" t="s">
        <v>116</v>
      </c>
      <c r="F200" s="16" t="s">
        <v>63</v>
      </c>
      <c r="G200" s="16" t="s">
        <v>133</v>
      </c>
    </row>
    <row r="201" ht="15.75" customHeight="1">
      <c r="A201" s="16" t="s">
        <v>112</v>
      </c>
      <c r="B201" s="16" t="str">
        <f t="array" ref="B201">IFERROR(INDEX(Lists!$B$2:$B$14,MATCH(A201,Lists!$A$2:$A$14,0)),"")</f>
        <v>27 Sep – 03 Oct 2026</v>
      </c>
      <c r="C201" s="16" t="s">
        <v>123</v>
      </c>
      <c r="D201" s="16" t="s">
        <v>134</v>
      </c>
      <c r="E201" s="16" t="s">
        <v>116</v>
      </c>
      <c r="F201" s="16" t="s">
        <v>63</v>
      </c>
      <c r="G201" s="16" t="s">
        <v>125</v>
      </c>
    </row>
    <row r="202" ht="15.75" customHeight="1">
      <c r="A202" s="16" t="s">
        <v>112</v>
      </c>
      <c r="B202" s="16" t="str">
        <f t="array" ref="B202">IFERROR(INDEX(Lists!$B$2:$B$14,MATCH(A202,Lists!$A$2:$A$14,0)),"")</f>
        <v>27 Sep – 03 Oct 2026</v>
      </c>
      <c r="C202" s="16" t="s">
        <v>126</v>
      </c>
      <c r="D202" s="16" t="s">
        <v>135</v>
      </c>
      <c r="E202" s="16" t="s">
        <v>116</v>
      </c>
      <c r="F202" s="16" t="s">
        <v>63</v>
      </c>
      <c r="G202" s="16" t="s">
        <v>128</v>
      </c>
    </row>
    <row r="203" ht="15.75" customHeight="1">
      <c r="A203" s="16" t="s">
        <v>112</v>
      </c>
      <c r="B203" s="16" t="str">
        <f t="array" ref="B203">IFERROR(INDEX(Lists!$B$2:$B$14,MATCH(A203,Lists!$A$2:$A$14,0)),"")</f>
        <v>27 Sep – 03 Oct 2026</v>
      </c>
      <c r="C203" s="16" t="s">
        <v>129</v>
      </c>
      <c r="D203" s="16" t="s">
        <v>136</v>
      </c>
      <c r="E203" s="16" t="s">
        <v>116</v>
      </c>
      <c r="F203" s="16" t="s">
        <v>63</v>
      </c>
      <c r="G203" s="16" t="s">
        <v>131</v>
      </c>
    </row>
    <row r="204" ht="15.75" customHeight="1">
      <c r="A204" s="16" t="s">
        <v>112</v>
      </c>
      <c r="B204" s="16" t="str">
        <f t="array" ref="B204">IFERROR(INDEX(Lists!$B$2:$B$14,MATCH(A204,Lists!$A$2:$A$14,0)),"")</f>
        <v>27 Sep – 03 Oct 2026</v>
      </c>
      <c r="C204" s="16" t="s">
        <v>137</v>
      </c>
      <c r="D204" s="16" t="s">
        <v>138</v>
      </c>
      <c r="E204" s="16" t="s">
        <v>116</v>
      </c>
      <c r="F204" s="16" t="s">
        <v>63</v>
      </c>
      <c r="G204" s="16" t="s">
        <v>139</v>
      </c>
    </row>
    <row r="205" ht="15.75" customHeight="1">
      <c r="A205" s="16" t="s">
        <v>112</v>
      </c>
      <c r="B205" s="16" t="str">
        <f t="array" ref="B205">IFERROR(INDEX(Lists!$B$2:$B$14,MATCH(A205,Lists!$A$2:$A$14,0)),"")</f>
        <v>27 Sep – 03 Oct 2026</v>
      </c>
      <c r="C205" s="16" t="s">
        <v>140</v>
      </c>
      <c r="D205" s="16" t="s">
        <v>141</v>
      </c>
      <c r="E205" s="16" t="s">
        <v>116</v>
      </c>
      <c r="F205" s="16" t="s">
        <v>63</v>
      </c>
      <c r="G205" s="16" t="s">
        <v>142</v>
      </c>
    </row>
    <row r="206" ht="15.75" customHeight="1">
      <c r="A206" s="16" t="s">
        <v>112</v>
      </c>
      <c r="B206" s="16" t="str">
        <f t="array" ref="B206">IFERROR(INDEX(Lists!$B$2:$B$14,MATCH(A206,Lists!$A$2:$A$14,0)),"")</f>
        <v>27 Sep – 03 Oct 2026</v>
      </c>
      <c r="C206" s="16" t="s">
        <v>140</v>
      </c>
      <c r="D206" s="16" t="s">
        <v>143</v>
      </c>
      <c r="E206" s="16" t="s">
        <v>116</v>
      </c>
      <c r="F206" s="16" t="s">
        <v>63</v>
      </c>
      <c r="G206" s="16" t="s">
        <v>144</v>
      </c>
    </row>
    <row r="207" ht="15.75" customHeight="1">
      <c r="A207" s="16" t="s">
        <v>112</v>
      </c>
      <c r="B207" s="16" t="str">
        <f t="array" ref="B207">IFERROR(INDEX(Lists!$B$2:$B$14,MATCH(A207,Lists!$A$2:$A$14,0)),"")</f>
        <v>27 Sep – 03 Oct 2026</v>
      </c>
      <c r="C207" s="16" t="s">
        <v>140</v>
      </c>
      <c r="D207" s="16" t="s">
        <v>145</v>
      </c>
      <c r="E207" s="16" t="s">
        <v>116</v>
      </c>
      <c r="F207" s="16" t="s">
        <v>146</v>
      </c>
      <c r="G207" s="16" t="s">
        <v>147</v>
      </c>
    </row>
    <row r="208" ht="15.75" customHeight="1">
      <c r="A208" s="16" t="s">
        <v>112</v>
      </c>
      <c r="B208" s="16" t="str">
        <f t="array" ref="B208">IFERROR(INDEX(Lists!$B$2:$B$14,MATCH(A208,Lists!$A$2:$A$14,0)),"")</f>
        <v>27 Sep – 03 Oct 2026</v>
      </c>
      <c r="C208" s="16" t="s">
        <v>148</v>
      </c>
      <c r="D208" s="16" t="s">
        <v>149</v>
      </c>
      <c r="E208" s="16" t="s">
        <v>116</v>
      </c>
      <c r="F208" s="16" t="s">
        <v>63</v>
      </c>
      <c r="G208" s="16" t="s">
        <v>150</v>
      </c>
    </row>
    <row r="209" ht="15.75" customHeight="1">
      <c r="A209" s="16" t="s">
        <v>112</v>
      </c>
      <c r="B209" s="16" t="str">
        <f t="array" ref="B209">IFERROR(INDEX(Lists!$B$2:$B$14,MATCH(A209,Lists!$A$2:$A$14,0)),"")</f>
        <v>27 Sep – 03 Oct 2026</v>
      </c>
      <c r="C209" s="16" t="s">
        <v>151</v>
      </c>
      <c r="D209" s="16" t="s">
        <v>152</v>
      </c>
      <c r="E209" s="16" t="s">
        <v>116</v>
      </c>
      <c r="F209" s="16" t="s">
        <v>63</v>
      </c>
      <c r="G209" s="16" t="s">
        <v>153</v>
      </c>
    </row>
    <row r="210" ht="15.75" customHeight="1">
      <c r="A210" s="16"/>
      <c r="B210" s="16"/>
      <c r="C210" s="16"/>
      <c r="D210" s="16"/>
      <c r="E210" s="16"/>
      <c r="F210" s="16"/>
      <c r="G210" s="16"/>
    </row>
    <row r="211" ht="15.75" customHeight="1">
      <c r="A211" s="16"/>
      <c r="B211" s="16"/>
      <c r="C211" s="16"/>
      <c r="D211" s="16"/>
      <c r="E211" s="16"/>
      <c r="F211" s="16"/>
      <c r="G211" s="16"/>
    </row>
    <row r="212" ht="15.75" customHeight="1">
      <c r="A212" s="16"/>
      <c r="B212" s="16"/>
      <c r="C212" s="16"/>
      <c r="D212" s="16"/>
      <c r="E212" s="16"/>
      <c r="F212" s="16"/>
      <c r="G212" s="16"/>
    </row>
    <row r="213" ht="15.75" customHeight="1">
      <c r="A213" s="16"/>
      <c r="B213" s="16"/>
      <c r="C213" s="16"/>
      <c r="D213" s="16"/>
      <c r="E213" s="16"/>
      <c r="F213" s="16"/>
      <c r="G213" s="16"/>
    </row>
    <row r="214" ht="15.75" customHeight="1">
      <c r="A214" s="16"/>
      <c r="B214" s="16"/>
      <c r="C214" s="16"/>
      <c r="D214" s="16"/>
      <c r="E214" s="16"/>
      <c r="F214" s="16"/>
      <c r="G214" s="16"/>
    </row>
    <row r="215" ht="15.75" customHeight="1">
      <c r="A215" s="16"/>
      <c r="B215" s="16"/>
      <c r="C215" s="16"/>
      <c r="D215" s="16"/>
      <c r="E215" s="16"/>
      <c r="F215" s="16"/>
      <c r="G215" s="16"/>
    </row>
    <row r="216" ht="15.75" customHeight="1">
      <c r="A216" s="16"/>
      <c r="B216" s="16"/>
      <c r="C216" s="16"/>
      <c r="D216" s="16"/>
      <c r="E216" s="16"/>
      <c r="F216" s="16"/>
      <c r="G216" s="16"/>
    </row>
    <row r="217" ht="15.75" customHeight="1">
      <c r="A217" s="16"/>
      <c r="B217" s="16"/>
      <c r="C217" s="16"/>
      <c r="D217" s="16"/>
      <c r="E217" s="16"/>
      <c r="F217" s="16"/>
      <c r="G217" s="16"/>
    </row>
    <row r="218" ht="15.75" customHeight="1">
      <c r="A218" s="16"/>
      <c r="B218" s="16"/>
      <c r="C218" s="16"/>
      <c r="D218" s="16"/>
      <c r="E218" s="16"/>
      <c r="F218" s="16"/>
      <c r="G218" s="16"/>
    </row>
    <row r="219" ht="15.75" customHeight="1">
      <c r="A219" s="16"/>
      <c r="B219" s="16"/>
      <c r="C219" s="16"/>
      <c r="D219" s="16"/>
      <c r="E219" s="16"/>
      <c r="F219" s="16"/>
      <c r="G219" s="16"/>
    </row>
    <row r="220" ht="15.75" customHeight="1">
      <c r="A220" s="16"/>
      <c r="B220" s="16"/>
      <c r="C220" s="16"/>
      <c r="D220" s="16"/>
      <c r="E220" s="16"/>
      <c r="F220" s="16"/>
      <c r="G220" s="16"/>
    </row>
    <row r="221" ht="15.75" customHeight="1">
      <c r="A221" s="16"/>
      <c r="B221" s="16"/>
      <c r="C221" s="16"/>
      <c r="D221" s="16"/>
      <c r="E221" s="16"/>
      <c r="F221" s="16"/>
      <c r="G221" s="16"/>
    </row>
    <row r="222" ht="15.75" customHeight="1">
      <c r="A222" s="16"/>
      <c r="B222" s="16"/>
      <c r="C222" s="16"/>
      <c r="D222" s="16"/>
      <c r="E222" s="16"/>
      <c r="F222" s="16"/>
      <c r="G222" s="16"/>
    </row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E2:E222">
    <cfRule type="expression" dxfId="0" priority="1">
      <formula>E2="Done"</formula>
    </cfRule>
  </conditionalFormatting>
  <conditionalFormatting sqref="E2:E222">
    <cfRule type="expression" dxfId="3" priority="2">
      <formula>E2="In Progress"</formula>
    </cfRule>
  </conditionalFormatting>
  <conditionalFormatting sqref="E2:E222">
    <cfRule type="expression" dxfId="2" priority="3">
      <formula>E2="Blocked"</formula>
    </cfRule>
  </conditionalFormatting>
  <dataValidations>
    <dataValidation type="list" allowBlank="1" sqref="A2:A222">
      <formula1>Lists!$A$2:$A$14</formula1>
    </dataValidation>
    <dataValidation type="list" allowBlank="1" sqref="F2:F222">
      <formula1>Lists!$M$2:$M$9</formula1>
    </dataValidation>
    <dataValidation type="list" allowBlank="1" sqref="E2:E222">
      <formula1>Lists!$H$2:$H$5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6.0"/>
    <col customWidth="1" min="3" max="3" width="22.0"/>
    <col customWidth="1" min="4" max="4" width="20.0"/>
    <col customWidth="1" min="5" max="5" width="34.0"/>
    <col customWidth="1" min="6" max="6" width="18.0"/>
    <col customWidth="1" min="7" max="7" width="22.0"/>
    <col customWidth="1" min="8" max="8" width="14.0"/>
    <col customWidth="1" min="9" max="9" width="34.0"/>
  </cols>
  <sheetData>
    <row r="1">
      <c r="A1" s="15" t="s">
        <v>39</v>
      </c>
      <c r="B1" s="15" t="s">
        <v>160</v>
      </c>
      <c r="C1" s="15" t="s">
        <v>42</v>
      </c>
      <c r="D1" s="15" t="s">
        <v>161</v>
      </c>
      <c r="E1" s="15" t="s">
        <v>162</v>
      </c>
      <c r="F1" s="15" t="s">
        <v>163</v>
      </c>
      <c r="G1" s="15" t="s">
        <v>52</v>
      </c>
      <c r="H1" s="15" t="s">
        <v>164</v>
      </c>
      <c r="I1" s="15" t="s">
        <v>56</v>
      </c>
    </row>
    <row r="2">
      <c r="A2" s="16"/>
      <c r="B2" s="16"/>
      <c r="C2" s="16"/>
      <c r="D2" s="16"/>
      <c r="E2" s="16"/>
      <c r="F2" s="16" t="s">
        <v>67</v>
      </c>
      <c r="G2" s="16" t="s">
        <v>68</v>
      </c>
      <c r="H2" s="27"/>
      <c r="I2" s="16"/>
    </row>
    <row r="3">
      <c r="A3" s="16"/>
      <c r="B3" s="16"/>
      <c r="C3" s="16"/>
      <c r="D3" s="16"/>
      <c r="E3" s="16"/>
      <c r="F3" s="16" t="s">
        <v>67</v>
      </c>
      <c r="G3" s="16" t="s">
        <v>68</v>
      </c>
      <c r="H3" s="27"/>
      <c r="I3" s="16"/>
    </row>
    <row r="4">
      <c r="A4" s="16"/>
      <c r="B4" s="16"/>
      <c r="C4" s="16"/>
      <c r="D4" s="16"/>
      <c r="E4" s="16"/>
      <c r="F4" s="16" t="s">
        <v>67</v>
      </c>
      <c r="G4" s="16" t="s">
        <v>68</v>
      </c>
      <c r="H4" s="27"/>
      <c r="I4" s="16"/>
    </row>
    <row r="5">
      <c r="A5" s="16"/>
      <c r="B5" s="16"/>
      <c r="C5" s="16"/>
      <c r="D5" s="16"/>
      <c r="E5" s="16"/>
      <c r="F5" s="16" t="s">
        <v>67</v>
      </c>
      <c r="G5" s="16" t="s">
        <v>68</v>
      </c>
      <c r="H5" s="27"/>
      <c r="I5" s="16"/>
    </row>
    <row r="6">
      <c r="A6" s="16"/>
      <c r="B6" s="16"/>
      <c r="C6" s="16"/>
      <c r="D6" s="16"/>
      <c r="E6" s="16"/>
      <c r="F6" s="16" t="s">
        <v>67</v>
      </c>
      <c r="G6" s="16" t="s">
        <v>68</v>
      </c>
      <c r="H6" s="27"/>
      <c r="I6" s="16"/>
    </row>
    <row r="7">
      <c r="A7" s="16"/>
      <c r="B7" s="16"/>
      <c r="C7" s="16"/>
      <c r="D7" s="16"/>
      <c r="E7" s="16"/>
      <c r="F7" s="16" t="s">
        <v>67</v>
      </c>
      <c r="G7" s="16" t="s">
        <v>68</v>
      </c>
      <c r="H7" s="27"/>
      <c r="I7" s="16"/>
    </row>
    <row r="8">
      <c r="A8" s="16"/>
      <c r="B8" s="16"/>
      <c r="C8" s="16"/>
      <c r="D8" s="16"/>
      <c r="E8" s="16"/>
      <c r="F8" s="16" t="s">
        <v>67</v>
      </c>
      <c r="G8" s="16" t="s">
        <v>68</v>
      </c>
      <c r="H8" s="27"/>
      <c r="I8" s="16"/>
    </row>
    <row r="9">
      <c r="A9" s="16"/>
      <c r="B9" s="16"/>
      <c r="C9" s="16"/>
      <c r="D9" s="16"/>
      <c r="E9" s="16"/>
      <c r="F9" s="16" t="s">
        <v>67</v>
      </c>
      <c r="G9" s="16" t="s">
        <v>68</v>
      </c>
      <c r="H9" s="27"/>
      <c r="I9" s="16"/>
    </row>
    <row r="10">
      <c r="A10" s="16"/>
      <c r="B10" s="16"/>
      <c r="C10" s="16"/>
      <c r="D10" s="16"/>
      <c r="E10" s="16"/>
      <c r="F10" s="16" t="s">
        <v>67</v>
      </c>
      <c r="G10" s="16" t="s">
        <v>68</v>
      </c>
      <c r="H10" s="27"/>
      <c r="I10" s="16"/>
    </row>
    <row r="11">
      <c r="A11" s="16"/>
      <c r="B11" s="16"/>
      <c r="C11" s="16"/>
      <c r="D11" s="16"/>
      <c r="E11" s="16"/>
      <c r="F11" s="16" t="s">
        <v>67</v>
      </c>
      <c r="G11" s="16" t="s">
        <v>68</v>
      </c>
      <c r="H11" s="27"/>
      <c r="I11" s="16"/>
    </row>
    <row r="12">
      <c r="A12" s="16"/>
      <c r="B12" s="16"/>
      <c r="C12" s="16"/>
      <c r="D12" s="16"/>
      <c r="E12" s="16"/>
      <c r="F12" s="16" t="s">
        <v>67</v>
      </c>
      <c r="G12" s="16" t="s">
        <v>68</v>
      </c>
      <c r="H12" s="27"/>
      <c r="I12" s="16"/>
    </row>
    <row r="13">
      <c r="A13" s="16"/>
      <c r="B13" s="16"/>
      <c r="C13" s="16"/>
      <c r="D13" s="16"/>
      <c r="E13" s="16"/>
      <c r="F13" s="16" t="s">
        <v>67</v>
      </c>
      <c r="G13" s="16" t="s">
        <v>68</v>
      </c>
      <c r="H13" s="27"/>
      <c r="I13" s="16"/>
    </row>
    <row r="14">
      <c r="A14" s="16"/>
      <c r="B14" s="16"/>
      <c r="C14" s="16"/>
      <c r="D14" s="16"/>
      <c r="E14" s="16"/>
      <c r="F14" s="16" t="s">
        <v>67</v>
      </c>
      <c r="G14" s="16" t="s">
        <v>68</v>
      </c>
      <c r="H14" s="27"/>
      <c r="I14" s="16"/>
    </row>
    <row r="15">
      <c r="A15" s="16"/>
      <c r="B15" s="16"/>
      <c r="C15" s="16"/>
      <c r="D15" s="16"/>
      <c r="E15" s="16"/>
      <c r="F15" s="16" t="s">
        <v>67</v>
      </c>
      <c r="G15" s="16" t="s">
        <v>68</v>
      </c>
      <c r="H15" s="27"/>
      <c r="I15" s="16"/>
    </row>
    <row r="16">
      <c r="A16" s="16"/>
      <c r="B16" s="16"/>
      <c r="C16" s="16"/>
      <c r="D16" s="16"/>
      <c r="E16" s="16"/>
      <c r="F16" s="16" t="s">
        <v>67</v>
      </c>
      <c r="G16" s="16" t="s">
        <v>68</v>
      </c>
      <c r="H16" s="27"/>
      <c r="I16" s="16"/>
    </row>
    <row r="17">
      <c r="A17" s="16"/>
      <c r="B17" s="16"/>
      <c r="C17" s="16"/>
      <c r="D17" s="16"/>
      <c r="E17" s="16"/>
      <c r="F17" s="16" t="s">
        <v>67</v>
      </c>
      <c r="G17" s="16" t="s">
        <v>68</v>
      </c>
      <c r="H17" s="27"/>
      <c r="I17" s="16"/>
    </row>
    <row r="18">
      <c r="A18" s="16"/>
      <c r="B18" s="16"/>
      <c r="C18" s="16"/>
      <c r="D18" s="16"/>
      <c r="E18" s="16"/>
      <c r="F18" s="16" t="s">
        <v>67</v>
      </c>
      <c r="G18" s="16" t="s">
        <v>68</v>
      </c>
      <c r="H18" s="27"/>
      <c r="I18" s="16"/>
    </row>
    <row r="19">
      <c r="A19" s="16"/>
      <c r="B19" s="16"/>
      <c r="C19" s="16"/>
      <c r="D19" s="16"/>
      <c r="E19" s="16"/>
      <c r="F19" s="16" t="s">
        <v>67</v>
      </c>
      <c r="G19" s="16" t="s">
        <v>68</v>
      </c>
      <c r="H19" s="27"/>
      <c r="I19" s="16"/>
    </row>
    <row r="20">
      <c r="A20" s="16"/>
      <c r="B20" s="16"/>
      <c r="C20" s="16"/>
      <c r="D20" s="16"/>
      <c r="E20" s="16"/>
      <c r="F20" s="16" t="s">
        <v>67</v>
      </c>
      <c r="G20" s="16" t="s">
        <v>68</v>
      </c>
      <c r="H20" s="27"/>
      <c r="I20" s="16"/>
    </row>
    <row r="21" ht="15.75" customHeight="1">
      <c r="A21" s="16"/>
      <c r="B21" s="16"/>
      <c r="C21" s="16"/>
      <c r="D21" s="16"/>
      <c r="E21" s="16"/>
      <c r="F21" s="16" t="s">
        <v>67</v>
      </c>
      <c r="G21" s="16" t="s">
        <v>68</v>
      </c>
      <c r="H21" s="27"/>
      <c r="I21" s="16"/>
    </row>
    <row r="22" ht="15.75" customHeight="1">
      <c r="A22" s="16"/>
      <c r="B22" s="16"/>
      <c r="C22" s="16"/>
      <c r="D22" s="16"/>
      <c r="E22" s="16"/>
      <c r="F22" s="16" t="s">
        <v>67</v>
      </c>
      <c r="G22" s="16" t="s">
        <v>68</v>
      </c>
      <c r="H22" s="27"/>
      <c r="I22" s="16"/>
    </row>
    <row r="23" ht="15.75" customHeight="1">
      <c r="A23" s="16"/>
      <c r="B23" s="16"/>
      <c r="C23" s="16"/>
      <c r="D23" s="16"/>
      <c r="E23" s="16"/>
      <c r="F23" s="16" t="s">
        <v>67</v>
      </c>
      <c r="G23" s="16" t="s">
        <v>68</v>
      </c>
      <c r="H23" s="27"/>
      <c r="I23" s="16"/>
    </row>
    <row r="24" ht="15.75" customHeight="1">
      <c r="A24" s="16"/>
      <c r="B24" s="16"/>
      <c r="C24" s="16"/>
      <c r="D24" s="16"/>
      <c r="E24" s="16"/>
      <c r="F24" s="16" t="s">
        <v>67</v>
      </c>
      <c r="G24" s="16" t="s">
        <v>68</v>
      </c>
      <c r="H24" s="27"/>
      <c r="I24" s="16"/>
    </row>
    <row r="25" ht="15.75" customHeight="1">
      <c r="A25" s="16"/>
      <c r="B25" s="16"/>
      <c r="C25" s="16"/>
      <c r="D25" s="16"/>
      <c r="E25" s="16"/>
      <c r="F25" s="16" t="s">
        <v>67</v>
      </c>
      <c r="G25" s="16" t="s">
        <v>68</v>
      </c>
      <c r="H25" s="27"/>
      <c r="I25" s="16"/>
    </row>
    <row r="26" ht="15.75" customHeight="1">
      <c r="A26" s="16"/>
      <c r="B26" s="16"/>
      <c r="C26" s="16"/>
      <c r="D26" s="16"/>
      <c r="E26" s="16"/>
      <c r="F26" s="16" t="s">
        <v>67</v>
      </c>
      <c r="G26" s="16" t="s">
        <v>68</v>
      </c>
      <c r="H26" s="27"/>
      <c r="I26" s="16"/>
    </row>
    <row r="27" ht="15.75" customHeight="1">
      <c r="A27" s="16"/>
      <c r="B27" s="16"/>
      <c r="C27" s="16"/>
      <c r="D27" s="16"/>
      <c r="E27" s="16"/>
      <c r="F27" s="16" t="s">
        <v>67</v>
      </c>
      <c r="G27" s="16" t="s">
        <v>68</v>
      </c>
      <c r="H27" s="27"/>
      <c r="I27" s="16"/>
    </row>
    <row r="28" ht="15.75" customHeight="1">
      <c r="A28" s="16"/>
      <c r="B28" s="16"/>
      <c r="C28" s="16"/>
      <c r="D28" s="16"/>
      <c r="E28" s="16"/>
      <c r="F28" s="16" t="s">
        <v>67</v>
      </c>
      <c r="G28" s="16" t="s">
        <v>68</v>
      </c>
      <c r="H28" s="27"/>
      <c r="I28" s="16"/>
    </row>
    <row r="29" ht="15.75" customHeight="1">
      <c r="A29" s="16"/>
      <c r="B29" s="16"/>
      <c r="C29" s="16"/>
      <c r="D29" s="16"/>
      <c r="E29" s="16"/>
      <c r="F29" s="16" t="s">
        <v>67</v>
      </c>
      <c r="G29" s="16" t="s">
        <v>68</v>
      </c>
      <c r="H29" s="27"/>
      <c r="I29" s="16"/>
    </row>
    <row r="30" ht="15.75" customHeight="1">
      <c r="A30" s="16"/>
      <c r="B30" s="16"/>
      <c r="C30" s="16"/>
      <c r="D30" s="16"/>
      <c r="E30" s="16"/>
      <c r="F30" s="16" t="s">
        <v>67</v>
      </c>
      <c r="G30" s="16" t="s">
        <v>68</v>
      </c>
      <c r="H30" s="27"/>
      <c r="I30" s="16"/>
    </row>
    <row r="31" ht="15.75" customHeight="1">
      <c r="A31" s="16"/>
      <c r="B31" s="16"/>
      <c r="C31" s="16"/>
      <c r="D31" s="16"/>
      <c r="E31" s="16"/>
      <c r="F31" s="16" t="s">
        <v>67</v>
      </c>
      <c r="G31" s="16" t="s">
        <v>68</v>
      </c>
      <c r="H31" s="27"/>
      <c r="I31" s="16"/>
    </row>
    <row r="32" ht="15.75" customHeight="1">
      <c r="A32" s="16"/>
      <c r="B32" s="16"/>
      <c r="C32" s="16"/>
      <c r="D32" s="16"/>
      <c r="E32" s="16"/>
      <c r="F32" s="16" t="s">
        <v>67</v>
      </c>
      <c r="G32" s="16" t="s">
        <v>68</v>
      </c>
      <c r="H32" s="27"/>
      <c r="I32" s="16"/>
    </row>
    <row r="33" ht="15.75" customHeight="1">
      <c r="A33" s="16"/>
      <c r="B33" s="16"/>
      <c r="C33" s="16"/>
      <c r="D33" s="16"/>
      <c r="E33" s="16"/>
      <c r="F33" s="16" t="s">
        <v>67</v>
      </c>
      <c r="G33" s="16" t="s">
        <v>68</v>
      </c>
      <c r="H33" s="27"/>
      <c r="I33" s="16"/>
    </row>
    <row r="34" ht="15.75" customHeight="1">
      <c r="A34" s="16"/>
      <c r="B34" s="16"/>
      <c r="C34" s="16"/>
      <c r="D34" s="16"/>
      <c r="E34" s="16"/>
      <c r="F34" s="16" t="s">
        <v>67</v>
      </c>
      <c r="G34" s="16" t="s">
        <v>68</v>
      </c>
      <c r="H34" s="27"/>
      <c r="I34" s="16"/>
    </row>
    <row r="35" ht="15.75" customHeight="1">
      <c r="A35" s="16"/>
      <c r="B35" s="16"/>
      <c r="C35" s="16"/>
      <c r="D35" s="16"/>
      <c r="E35" s="16"/>
      <c r="F35" s="16" t="s">
        <v>67</v>
      </c>
      <c r="G35" s="16" t="s">
        <v>68</v>
      </c>
      <c r="H35" s="27"/>
      <c r="I35" s="16"/>
    </row>
    <row r="36" ht="15.75" customHeight="1">
      <c r="A36" s="16"/>
      <c r="B36" s="16"/>
      <c r="C36" s="16"/>
      <c r="D36" s="16"/>
      <c r="E36" s="16"/>
      <c r="F36" s="16" t="s">
        <v>67</v>
      </c>
      <c r="G36" s="16" t="s">
        <v>68</v>
      </c>
      <c r="H36" s="27"/>
      <c r="I36" s="16"/>
    </row>
    <row r="37" ht="15.75" customHeight="1">
      <c r="A37" s="16"/>
      <c r="B37" s="16"/>
      <c r="C37" s="16"/>
      <c r="D37" s="16"/>
      <c r="E37" s="16"/>
      <c r="F37" s="16" t="s">
        <v>67</v>
      </c>
      <c r="G37" s="16" t="s">
        <v>68</v>
      </c>
      <c r="H37" s="27"/>
      <c r="I37" s="16"/>
    </row>
    <row r="38" ht="15.75" customHeight="1">
      <c r="A38" s="16"/>
      <c r="B38" s="16"/>
      <c r="C38" s="16"/>
      <c r="D38" s="16"/>
      <c r="E38" s="16"/>
      <c r="F38" s="16" t="s">
        <v>67</v>
      </c>
      <c r="G38" s="16" t="s">
        <v>68</v>
      </c>
      <c r="H38" s="27"/>
      <c r="I38" s="16"/>
    </row>
    <row r="39" ht="15.75" customHeight="1">
      <c r="A39" s="16"/>
      <c r="B39" s="16"/>
      <c r="C39" s="16"/>
      <c r="D39" s="16"/>
      <c r="E39" s="16"/>
      <c r="F39" s="16" t="s">
        <v>67</v>
      </c>
      <c r="G39" s="16" t="s">
        <v>68</v>
      </c>
      <c r="H39" s="27"/>
      <c r="I39" s="16"/>
    </row>
    <row r="40" ht="15.75" customHeight="1">
      <c r="A40" s="16"/>
      <c r="B40" s="16"/>
      <c r="C40" s="16"/>
      <c r="D40" s="16"/>
      <c r="E40" s="16"/>
      <c r="F40" s="16" t="s">
        <v>67</v>
      </c>
      <c r="G40" s="16" t="s">
        <v>68</v>
      </c>
      <c r="H40" s="27"/>
      <c r="I40" s="16"/>
    </row>
    <row r="41" ht="15.75" customHeight="1">
      <c r="A41" s="16"/>
      <c r="B41" s="16"/>
      <c r="C41" s="16"/>
      <c r="D41" s="16"/>
      <c r="E41" s="16"/>
      <c r="F41" s="16" t="s">
        <v>67</v>
      </c>
      <c r="G41" s="16" t="s">
        <v>68</v>
      </c>
      <c r="H41" s="27"/>
      <c r="I41" s="16"/>
    </row>
    <row r="42" ht="15.75" customHeight="1">
      <c r="A42" s="16"/>
      <c r="B42" s="16"/>
      <c r="C42" s="16"/>
      <c r="D42" s="16"/>
      <c r="E42" s="16"/>
      <c r="F42" s="16" t="s">
        <v>67</v>
      </c>
      <c r="G42" s="16" t="s">
        <v>68</v>
      </c>
      <c r="H42" s="27"/>
      <c r="I42" s="16"/>
    </row>
    <row r="43" ht="15.75" customHeight="1">
      <c r="A43" s="16"/>
      <c r="B43" s="16"/>
      <c r="C43" s="16"/>
      <c r="D43" s="16"/>
      <c r="E43" s="16"/>
      <c r="F43" s="16" t="s">
        <v>67</v>
      </c>
      <c r="G43" s="16" t="s">
        <v>68</v>
      </c>
      <c r="H43" s="27"/>
      <c r="I43" s="16"/>
    </row>
    <row r="44" ht="15.75" customHeight="1">
      <c r="A44" s="16"/>
      <c r="B44" s="16"/>
      <c r="C44" s="16"/>
      <c r="D44" s="16"/>
      <c r="E44" s="16"/>
      <c r="F44" s="16" t="s">
        <v>67</v>
      </c>
      <c r="G44" s="16" t="s">
        <v>68</v>
      </c>
      <c r="H44" s="27"/>
      <c r="I44" s="16"/>
    </row>
    <row r="45" ht="15.75" customHeight="1">
      <c r="A45" s="16"/>
      <c r="B45" s="16"/>
      <c r="C45" s="16"/>
      <c r="D45" s="16"/>
      <c r="E45" s="16"/>
      <c r="F45" s="16" t="s">
        <v>67</v>
      </c>
      <c r="G45" s="16" t="s">
        <v>68</v>
      </c>
      <c r="H45" s="27"/>
      <c r="I45" s="16"/>
    </row>
    <row r="46" ht="15.75" customHeight="1">
      <c r="A46" s="16"/>
      <c r="B46" s="16"/>
      <c r="C46" s="16"/>
      <c r="D46" s="16"/>
      <c r="E46" s="16"/>
      <c r="F46" s="16" t="s">
        <v>67</v>
      </c>
      <c r="G46" s="16" t="s">
        <v>68</v>
      </c>
      <c r="H46" s="27"/>
      <c r="I46" s="16"/>
    </row>
    <row r="47" ht="15.75" customHeight="1">
      <c r="A47" s="16"/>
      <c r="B47" s="16"/>
      <c r="C47" s="16"/>
      <c r="D47" s="16"/>
      <c r="E47" s="16"/>
      <c r="F47" s="16" t="s">
        <v>67</v>
      </c>
      <c r="G47" s="16" t="s">
        <v>68</v>
      </c>
      <c r="H47" s="27"/>
      <c r="I47" s="16"/>
    </row>
    <row r="48" ht="15.75" customHeight="1">
      <c r="A48" s="16"/>
      <c r="B48" s="16"/>
      <c r="C48" s="16"/>
      <c r="D48" s="16"/>
      <c r="E48" s="16"/>
      <c r="F48" s="16" t="s">
        <v>67</v>
      </c>
      <c r="G48" s="16" t="s">
        <v>68</v>
      </c>
      <c r="H48" s="27"/>
      <c r="I48" s="16"/>
    </row>
    <row r="49" ht="15.75" customHeight="1">
      <c r="A49" s="16"/>
      <c r="B49" s="16"/>
      <c r="C49" s="16"/>
      <c r="D49" s="16"/>
      <c r="E49" s="16"/>
      <c r="F49" s="16" t="s">
        <v>67</v>
      </c>
      <c r="G49" s="16" t="s">
        <v>68</v>
      </c>
      <c r="H49" s="27"/>
      <c r="I49" s="16"/>
    </row>
    <row r="50" ht="15.75" customHeight="1">
      <c r="A50" s="16"/>
      <c r="B50" s="16"/>
      <c r="C50" s="16"/>
      <c r="D50" s="16"/>
      <c r="E50" s="16"/>
      <c r="F50" s="16" t="s">
        <v>67</v>
      </c>
      <c r="G50" s="16" t="s">
        <v>68</v>
      </c>
      <c r="H50" s="27"/>
      <c r="I50" s="16"/>
    </row>
    <row r="51" ht="15.75" customHeight="1">
      <c r="A51" s="16"/>
      <c r="B51" s="16"/>
      <c r="C51" s="16"/>
      <c r="D51" s="16"/>
      <c r="E51" s="16"/>
      <c r="F51" s="16" t="s">
        <v>67</v>
      </c>
      <c r="G51" s="16" t="s">
        <v>68</v>
      </c>
      <c r="H51" s="27"/>
      <c r="I51" s="16"/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G2:G51">
    <cfRule type="expression" dxfId="0" priority="1">
      <formula>G2="Added to ActiveCampaign"</formula>
    </cfRule>
  </conditionalFormatting>
  <conditionalFormatting sqref="G2:G51">
    <cfRule type="expression" dxfId="3" priority="2">
      <formula>G2="Submitted to Iffah"</formula>
    </cfRule>
  </conditionalFormatting>
  <conditionalFormatting sqref="G2:G51">
    <cfRule type="expression" dxfId="1" priority="3">
      <formula>G2="Needs Follow-up"</formula>
    </cfRule>
  </conditionalFormatting>
  <dataValidations>
    <dataValidation type="list" allowBlank="1" sqref="F2:F51">
      <formula1>Lists!$J$2:$J$4</formula1>
    </dataValidation>
    <dataValidation type="list" allowBlank="1" sqref="A2:A51">
      <formula1>Lists!$A$2:$A$14</formula1>
    </dataValidation>
    <dataValidation type="list" allowBlank="1" sqref="G2:G51">
      <formula1>Lists!$K$2:$K$8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3" width="18.0"/>
  </cols>
  <sheetData>
    <row r="1">
      <c r="A1" s="28" t="s">
        <v>39</v>
      </c>
      <c r="B1" s="28" t="s">
        <v>40</v>
      </c>
      <c r="C1" s="28" t="s">
        <v>165</v>
      </c>
      <c r="D1" s="28" t="s">
        <v>166</v>
      </c>
      <c r="E1" s="16"/>
      <c r="F1" s="16"/>
      <c r="G1" s="28" t="s">
        <v>167</v>
      </c>
      <c r="H1" s="28" t="s">
        <v>168</v>
      </c>
      <c r="I1" s="28" t="s">
        <v>43</v>
      </c>
      <c r="J1" s="28" t="s">
        <v>169</v>
      </c>
      <c r="K1" s="28" t="s">
        <v>52</v>
      </c>
      <c r="L1" s="28" t="s">
        <v>45</v>
      </c>
      <c r="M1" s="28" t="s">
        <v>170</v>
      </c>
    </row>
    <row r="2">
      <c r="A2" s="16" t="s">
        <v>57</v>
      </c>
      <c r="B2" s="16" t="s">
        <v>171</v>
      </c>
      <c r="C2" s="27">
        <v>46208.0</v>
      </c>
      <c r="D2" s="27">
        <v>46214.0</v>
      </c>
      <c r="E2" s="16"/>
      <c r="F2" s="16"/>
      <c r="G2" s="16" t="s">
        <v>116</v>
      </c>
      <c r="H2" s="16" t="s">
        <v>116</v>
      </c>
      <c r="I2" s="16" t="s">
        <v>172</v>
      </c>
      <c r="J2" s="16" t="s">
        <v>65</v>
      </c>
      <c r="K2" s="16" t="s">
        <v>68</v>
      </c>
      <c r="L2" s="16" t="s">
        <v>62</v>
      </c>
      <c r="M2" s="16" t="s">
        <v>63</v>
      </c>
    </row>
    <row r="3">
      <c r="A3" s="16" t="s">
        <v>73</v>
      </c>
      <c r="B3" s="16" t="s">
        <v>173</v>
      </c>
      <c r="C3" s="27">
        <v>46215.0</v>
      </c>
      <c r="D3" s="27">
        <v>46221.0</v>
      </c>
      <c r="E3" s="16"/>
      <c r="F3" s="16"/>
      <c r="G3" s="16" t="s">
        <v>84</v>
      </c>
      <c r="H3" s="16" t="s">
        <v>174</v>
      </c>
      <c r="I3" s="16" t="s">
        <v>60</v>
      </c>
      <c r="J3" s="16" t="s">
        <v>85</v>
      </c>
      <c r="K3" s="16" t="s">
        <v>163</v>
      </c>
      <c r="L3" s="16" t="s">
        <v>175</v>
      </c>
      <c r="M3" s="16" t="s">
        <v>146</v>
      </c>
    </row>
    <row r="4">
      <c r="A4" s="16" t="s">
        <v>86</v>
      </c>
      <c r="B4" s="16" t="s">
        <v>176</v>
      </c>
      <c r="C4" s="27">
        <v>46222.0</v>
      </c>
      <c r="D4" s="27">
        <v>46228.0</v>
      </c>
      <c r="E4" s="16"/>
      <c r="F4" s="16"/>
      <c r="G4" s="16" t="s">
        <v>123</v>
      </c>
      <c r="H4" s="16" t="s">
        <v>177</v>
      </c>
      <c r="I4" s="16" t="s">
        <v>178</v>
      </c>
      <c r="J4" s="16" t="s">
        <v>67</v>
      </c>
      <c r="K4" s="16" t="s">
        <v>179</v>
      </c>
      <c r="L4" s="16" t="s">
        <v>180</v>
      </c>
      <c r="M4" s="16" t="s">
        <v>181</v>
      </c>
    </row>
    <row r="5">
      <c r="A5" s="16" t="s">
        <v>91</v>
      </c>
      <c r="B5" s="16" t="s">
        <v>182</v>
      </c>
      <c r="C5" s="27">
        <v>46229.0</v>
      </c>
      <c r="D5" s="27">
        <v>46235.0</v>
      </c>
      <c r="E5" s="16"/>
      <c r="F5" s="16"/>
      <c r="G5" s="16" t="s">
        <v>183</v>
      </c>
      <c r="H5" s="16" t="s">
        <v>184</v>
      </c>
      <c r="I5" s="16" t="s">
        <v>185</v>
      </c>
      <c r="J5" s="16"/>
      <c r="K5" s="16" t="s">
        <v>186</v>
      </c>
      <c r="L5" s="16"/>
      <c r="M5" s="16" t="s">
        <v>187</v>
      </c>
    </row>
    <row r="6">
      <c r="A6" s="16" t="s">
        <v>96</v>
      </c>
      <c r="B6" s="16" t="s">
        <v>188</v>
      </c>
      <c r="C6" s="27">
        <v>46236.0</v>
      </c>
      <c r="D6" s="27">
        <v>46242.0</v>
      </c>
      <c r="E6" s="16"/>
      <c r="F6" s="16"/>
      <c r="G6" s="16" t="s">
        <v>189</v>
      </c>
      <c r="H6" s="16"/>
      <c r="I6" s="16" t="s">
        <v>190</v>
      </c>
      <c r="J6" s="16"/>
      <c r="K6" s="16" t="s">
        <v>191</v>
      </c>
      <c r="L6" s="16"/>
      <c r="M6" s="16" t="s">
        <v>192</v>
      </c>
    </row>
    <row r="7">
      <c r="A7" s="16" t="s">
        <v>100</v>
      </c>
      <c r="B7" s="16" t="s">
        <v>193</v>
      </c>
      <c r="C7" s="27">
        <v>46243.0</v>
      </c>
      <c r="D7" s="27">
        <v>46249.0</v>
      </c>
      <c r="E7" s="16"/>
      <c r="F7" s="16"/>
      <c r="G7" s="16" t="s">
        <v>61</v>
      </c>
      <c r="H7" s="16"/>
      <c r="I7" s="16" t="s">
        <v>194</v>
      </c>
      <c r="J7" s="16"/>
      <c r="K7" s="16" t="s">
        <v>195</v>
      </c>
      <c r="L7" s="16"/>
      <c r="M7" s="16" t="s">
        <v>196</v>
      </c>
    </row>
    <row r="8">
      <c r="A8" s="16" t="s">
        <v>103</v>
      </c>
      <c r="B8" s="16" t="s">
        <v>197</v>
      </c>
      <c r="C8" s="27">
        <v>46250.0</v>
      </c>
      <c r="D8" s="27">
        <v>46256.0</v>
      </c>
      <c r="E8" s="16"/>
      <c r="F8" s="16"/>
      <c r="G8" s="16" t="s">
        <v>198</v>
      </c>
      <c r="H8" s="16"/>
      <c r="I8" s="16"/>
      <c r="J8" s="16"/>
      <c r="K8" s="16" t="s">
        <v>199</v>
      </c>
      <c r="L8" s="16"/>
      <c r="M8" s="16" t="s">
        <v>200</v>
      </c>
    </row>
    <row r="9">
      <c r="A9" s="16" t="s">
        <v>106</v>
      </c>
      <c r="B9" s="16" t="s">
        <v>201</v>
      </c>
      <c r="C9" s="27">
        <v>46257.0</v>
      </c>
      <c r="D9" s="27">
        <v>46263.0</v>
      </c>
      <c r="E9" s="16"/>
      <c r="F9" s="16"/>
      <c r="G9" s="16" t="s">
        <v>202</v>
      </c>
      <c r="H9" s="16"/>
      <c r="I9" s="16"/>
      <c r="J9" s="16"/>
      <c r="K9" s="16"/>
      <c r="L9" s="16"/>
      <c r="M9" s="16" t="s">
        <v>203</v>
      </c>
    </row>
    <row r="10">
      <c r="A10" s="16" t="s">
        <v>108</v>
      </c>
      <c r="B10" s="16" t="s">
        <v>204</v>
      </c>
      <c r="C10" s="27">
        <v>46264.0</v>
      </c>
      <c r="D10" s="27">
        <v>46270.0</v>
      </c>
      <c r="E10" s="16"/>
      <c r="F10" s="16"/>
      <c r="G10" s="16" t="s">
        <v>184</v>
      </c>
      <c r="H10" s="16"/>
      <c r="I10" s="16"/>
      <c r="J10" s="16"/>
      <c r="K10" s="16"/>
      <c r="L10" s="16"/>
      <c r="M10" s="16"/>
    </row>
    <row r="11">
      <c r="A11" s="16" t="s">
        <v>109</v>
      </c>
      <c r="B11" s="16" t="s">
        <v>205</v>
      </c>
      <c r="C11" s="27">
        <v>46271.0</v>
      </c>
      <c r="D11" s="27">
        <v>46277.0</v>
      </c>
      <c r="E11" s="16"/>
      <c r="F11" s="16"/>
      <c r="G11" s="16"/>
      <c r="H11" s="16"/>
      <c r="I11" s="16"/>
      <c r="J11" s="16"/>
      <c r="K11" s="16"/>
      <c r="L11" s="16"/>
      <c r="M11" s="16"/>
    </row>
    <row r="12">
      <c r="A12" s="16" t="s">
        <v>110</v>
      </c>
      <c r="B12" s="16" t="s">
        <v>206</v>
      </c>
      <c r="C12" s="27">
        <v>46278.0</v>
      </c>
      <c r="D12" s="27">
        <v>46284.0</v>
      </c>
      <c r="E12" s="16"/>
      <c r="F12" s="16"/>
      <c r="G12" s="16"/>
      <c r="H12" s="16"/>
      <c r="I12" s="16"/>
      <c r="J12" s="16"/>
      <c r="K12" s="16"/>
      <c r="L12" s="16"/>
      <c r="M12" s="16"/>
    </row>
    <row r="13">
      <c r="A13" s="16" t="s">
        <v>111</v>
      </c>
      <c r="B13" s="16" t="s">
        <v>207</v>
      </c>
      <c r="C13" s="27">
        <v>46285.0</v>
      </c>
      <c r="D13" s="27">
        <v>46291.0</v>
      </c>
      <c r="E13" s="16"/>
      <c r="F13" s="16"/>
      <c r="G13" s="16"/>
      <c r="H13" s="16"/>
      <c r="I13" s="16"/>
      <c r="J13" s="16"/>
      <c r="K13" s="16"/>
      <c r="L13" s="16"/>
      <c r="M13" s="16"/>
    </row>
    <row r="14">
      <c r="A14" s="16" t="s">
        <v>112</v>
      </c>
      <c r="B14" s="16" t="s">
        <v>208</v>
      </c>
      <c r="C14" s="27">
        <v>46292.0</v>
      </c>
      <c r="D14" s="27">
        <v>46298.0</v>
      </c>
      <c r="E14" s="16"/>
      <c r="F14" s="16"/>
      <c r="G14" s="16"/>
      <c r="H14" s="16"/>
      <c r="I14" s="16"/>
      <c r="J14" s="16"/>
      <c r="K14" s="16"/>
      <c r="L14" s="16"/>
      <c r="M14" s="16"/>
    </row>
    <row r="1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6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</row>
    <row r="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</row>
    <row r="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</row>
    <row r="20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